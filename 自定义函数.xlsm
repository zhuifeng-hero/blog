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ffice\"/>
    </mc:Choice>
  </mc:AlternateContent>
  <bookViews>
    <workbookView xWindow="9705" yWindow="4425" windowWidth="9510" windowHeight="3675"/>
  </bookViews>
  <sheets>
    <sheet name="合并目录下多电子表" sheetId="13" r:id="rId1"/>
    <sheet name="自定义函数" sheetId="1" r:id="rId2"/>
    <sheet name="调整列顺序" sheetId="3" r:id="rId3"/>
    <sheet name="调整表顺序" sheetId="20" r:id="rId4"/>
    <sheet name="常用函数" sheetId="5" r:id="rId5"/>
    <sheet name="temp" sheetId="12" r:id="rId6"/>
    <sheet name="sys" sheetId="14" r:id="rId7"/>
    <sheet name="批量" sheetId="16" r:id="rId8"/>
    <sheet name="Sheet3" sheetId="19" r:id="rId9"/>
    <sheet name="拆分表" sheetId="21" r:id="rId10"/>
  </sheets>
  <functionGroups builtInGroupCount="18"/>
  <externalReferences>
    <externalReference r:id="rId11"/>
  </externalReferences>
  <definedNames>
    <definedName name="_xlnm._FilterDatabase" localSheetId="5" hidden="1">temp!$A$1:$C$1084</definedName>
    <definedName name="_xlnm._FilterDatabase" localSheetId="0" hidden="1">合并目录下多电子表!$A$1:$E$22</definedName>
    <definedName name="_xlnm._FilterDatabase" localSheetId="1" hidden="1">自定义函数!$A$1:$E$77</definedName>
  </definedNames>
  <calcPr calcId="162913"/>
</workbook>
</file>

<file path=xl/calcChain.xml><?xml version="1.0" encoding="utf-8"?>
<calcChain xmlns="http://schemas.openxmlformats.org/spreadsheetml/2006/main">
  <c r="G3" i="16" l="1"/>
  <c r="G2" i="16"/>
  <c r="AN1" i="16" l="1"/>
  <c r="C11" i="13"/>
  <c r="C10" i="13"/>
  <c r="C13" i="13"/>
  <c r="C14" i="13"/>
  <c r="C12" i="13"/>
  <c r="C2" i="13"/>
  <c r="C4" i="13"/>
  <c r="C7" i="13"/>
  <c r="C6" i="13"/>
  <c r="C9" i="13"/>
  <c r="C8" i="13"/>
  <c r="C5" i="13"/>
  <c r="C3" i="13"/>
  <c r="AI1" i="16" l="1"/>
  <c r="AC1" i="16" l="1"/>
  <c r="AF1" i="16"/>
  <c r="Y1" i="16" l="1"/>
  <c r="E1" i="16" l="1"/>
  <c r="B28" i="14" l="1"/>
  <c r="B29" i="14"/>
  <c r="B27" i="14"/>
  <c r="B15" i="14"/>
  <c r="B16" i="14"/>
  <c r="B17" i="14"/>
  <c r="B18" i="14"/>
  <c r="B19" i="14"/>
  <c r="B20" i="14"/>
  <c r="B21" i="14"/>
  <c r="B22" i="14"/>
  <c r="B23" i="14"/>
  <c r="B24" i="14"/>
  <c r="B25" i="14"/>
  <c r="B14" i="14"/>
  <c r="W1" i="16" l="1"/>
  <c r="B5" i="5" l="1"/>
  <c r="B6" i="5" s="1"/>
  <c r="H1" i="21" l="1"/>
  <c r="H3" i="21" l="1"/>
  <c r="T2" i="16"/>
  <c r="T1" i="16"/>
  <c r="G13" i="16" l="1"/>
  <c r="E55" i="5" l="1"/>
  <c r="F55" i="5"/>
  <c r="F57" i="5"/>
  <c r="F58" i="5"/>
  <c r="F59" i="5"/>
  <c r="F60" i="5"/>
  <c r="F61" i="5"/>
  <c r="F56" i="5"/>
  <c r="F48" i="5"/>
  <c r="G48" i="5" s="1"/>
  <c r="G43" i="5"/>
  <c r="G4" i="16" l="1"/>
  <c r="G5" i="16"/>
  <c r="G6" i="16"/>
  <c r="G7" i="16"/>
  <c r="G8" i="16"/>
  <c r="G9" i="16"/>
  <c r="G10" i="16"/>
  <c r="G11" i="16"/>
  <c r="G12" i="16"/>
  <c r="H3" i="16" l="1"/>
  <c r="H4" i="16"/>
  <c r="H5" i="16"/>
  <c r="H6" i="16"/>
  <c r="H7" i="16"/>
  <c r="H8" i="16"/>
  <c r="H9" i="16"/>
  <c r="H10" i="16"/>
  <c r="H11" i="16"/>
  <c r="H12" i="16"/>
  <c r="H13" i="16"/>
  <c r="H2" i="16"/>
  <c r="D2" i="19" l="1"/>
  <c r="D3" i="19"/>
  <c r="D4" i="19"/>
  <c r="D5" i="19"/>
  <c r="D6" i="19"/>
  <c r="D7" i="19"/>
  <c r="D8" i="19"/>
  <c r="D9" i="19"/>
  <c r="D10" i="19"/>
  <c r="D1" i="19"/>
  <c r="B2" i="19"/>
  <c r="B3" i="19"/>
  <c r="B4" i="19"/>
  <c r="B5" i="19"/>
  <c r="B6" i="19"/>
  <c r="B7" i="19"/>
  <c r="B8" i="19"/>
  <c r="B9" i="19"/>
  <c r="B10" i="19"/>
  <c r="B1" i="19"/>
  <c r="N1" i="16" l="1"/>
  <c r="L1" i="16"/>
  <c r="I1" i="16"/>
  <c r="L29" i="5" l="1"/>
  <c r="L30" i="5" s="1"/>
  <c r="B1" i="16" l="1"/>
  <c r="G45" i="5" l="1"/>
  <c r="F25" i="5" l="1"/>
  <c r="F26" i="5" s="1"/>
  <c r="F27" i="5" s="1"/>
  <c r="F28" i="5"/>
  <c r="F29" i="5" s="1"/>
  <c r="F30" i="5" s="1"/>
  <c r="F31" i="5" s="1"/>
  <c r="F32" i="5" s="1"/>
  <c r="F33" i="5" s="1"/>
  <c r="F34" i="5"/>
  <c r="F35" i="5" s="1"/>
  <c r="F36" i="5" s="1"/>
  <c r="F37" i="5" s="1"/>
  <c r="F38" i="5" s="1"/>
  <c r="F39" i="5" s="1"/>
  <c r="F24" i="5"/>
  <c r="G24" i="5" s="1"/>
  <c r="G28" i="5" l="1"/>
  <c r="G25" i="5"/>
  <c r="G29" i="5"/>
  <c r="G23" i="5"/>
  <c r="G26" i="5" l="1"/>
  <c r="G27" i="5"/>
  <c r="G30" i="5"/>
  <c r="E2" i="5"/>
  <c r="E1" i="5"/>
  <c r="G31" i="5" l="1"/>
  <c r="G32" i="5" l="1"/>
  <c r="G33" i="5" l="1"/>
  <c r="G34" i="5" l="1"/>
  <c r="G35" i="5" l="1"/>
  <c r="G36" i="5" l="1"/>
  <c r="G37" i="5" l="1"/>
  <c r="G38" i="5" l="1"/>
  <c r="G39" i="5"/>
</calcChain>
</file>

<file path=xl/sharedStrings.xml><?xml version="1.0" encoding="utf-8"?>
<sst xmlns="http://schemas.openxmlformats.org/spreadsheetml/2006/main" count="950" uniqueCount="630">
  <si>
    <t>A</t>
    <phoneticPr fontId="1" type="noConversion"/>
  </si>
  <si>
    <t>字符对应数字代码</t>
    <phoneticPr fontId="1" type="noConversion"/>
  </si>
  <si>
    <t>数字代码转字符</t>
    <phoneticPr fontId="1" type="noConversion"/>
  </si>
  <si>
    <t>char</t>
    <phoneticPr fontId="1" type="noConversion"/>
  </si>
  <si>
    <t>code</t>
    <phoneticPr fontId="1" type="noConversion"/>
  </si>
  <si>
    <t>文件路径及名字:</t>
  </si>
  <si>
    <t>新表名</t>
    <phoneticPr fontId="4" type="noConversion"/>
  </si>
  <si>
    <t>表名</t>
    <phoneticPr fontId="4" type="noConversion"/>
  </si>
  <si>
    <t>两日期相关时间----单位：年</t>
    <phoneticPr fontId="1" type="noConversion"/>
  </si>
  <si>
    <t>插入对号</t>
    <phoneticPr fontId="1" type="noConversion"/>
  </si>
  <si>
    <t>显示所选行列</t>
    <phoneticPr fontId="1" type="noConversion"/>
  </si>
  <si>
    <t>批量替换</t>
    <phoneticPr fontId="1" type="noConversion"/>
  </si>
  <si>
    <t>批量筛选</t>
    <phoneticPr fontId="1" type="noConversion"/>
  </si>
  <si>
    <t>RET</t>
    <phoneticPr fontId="1" type="noConversion"/>
  </si>
  <si>
    <t>复制</t>
    <phoneticPr fontId="1" type="noConversion"/>
  </si>
  <si>
    <t>粘贴</t>
    <phoneticPr fontId="1" type="noConversion"/>
  </si>
  <si>
    <t>资产表(年初数)</t>
  </si>
  <si>
    <t>负债及权益表(年初数)</t>
  </si>
  <si>
    <t>利润表(上年数)</t>
  </si>
  <si>
    <t>现金流量表(上年数)</t>
  </si>
  <si>
    <t>所有者权益变动表(上年数)</t>
  </si>
  <si>
    <t>资产表(年末数)</t>
  </si>
  <si>
    <t>负债及权益表(年末数)</t>
  </si>
  <si>
    <t>利润表(本年数)</t>
  </si>
  <si>
    <t>现金流量表(本年数)</t>
  </si>
  <si>
    <t>所有者权益变动表(本年数)</t>
  </si>
  <si>
    <t>[试算平衡表等（新准则）-合并.xls]</t>
  </si>
  <si>
    <t>!$J$7:$P$102</t>
    <phoneticPr fontId="1" type="noConversion"/>
  </si>
  <si>
    <t>[试算平衡表等（新准则）母公司2011.xls]</t>
  </si>
  <si>
    <t>!$C$7</t>
  </si>
  <si>
    <t>运输</t>
    <phoneticPr fontId="1" type="noConversion"/>
  </si>
  <si>
    <t>综开</t>
    <phoneticPr fontId="1" type="noConversion"/>
  </si>
  <si>
    <t>尾煤</t>
    <phoneticPr fontId="1" type="noConversion"/>
  </si>
  <si>
    <t>科工贸本部</t>
    <phoneticPr fontId="1" type="noConversion"/>
  </si>
  <si>
    <t>多经</t>
    <phoneticPr fontId="1" type="noConversion"/>
  </si>
  <si>
    <t>打开</t>
    <phoneticPr fontId="1" type="noConversion"/>
  </si>
  <si>
    <t>关闭</t>
    <phoneticPr fontId="1" type="noConversion"/>
  </si>
  <si>
    <t>5590其他流动负债通用表格</t>
  </si>
  <si>
    <t>$A$81</t>
    <phoneticPr fontId="1" type="noConversion"/>
  </si>
  <si>
    <t>西区维护分部户县维护小组</t>
  </si>
  <si>
    <t>陕西国防工业职业技术学院</t>
  </si>
  <si>
    <t>拆分合并</t>
    <phoneticPr fontId="1" type="noConversion"/>
  </si>
  <si>
    <t>数据透视表</t>
    <phoneticPr fontId="1" type="noConversion"/>
  </si>
  <si>
    <t>行标签</t>
    <phoneticPr fontId="1" type="noConversion"/>
  </si>
  <si>
    <t>列标签</t>
    <phoneticPr fontId="1" type="noConversion"/>
  </si>
  <si>
    <t>数值</t>
    <phoneticPr fontId="1" type="noConversion"/>
  </si>
  <si>
    <t>旧表名</t>
    <phoneticPr fontId="1" type="noConversion"/>
  </si>
  <si>
    <t>原名称</t>
  </si>
  <si>
    <t>替换名</t>
  </si>
  <si>
    <t>IFERROR(VLOOKUP($A7,INDIRECT(J$2),3,FALSE),0)</t>
    <phoneticPr fontId="1" type="noConversion"/>
  </si>
  <si>
    <t>'[试算平衡表等（宏圣）母公司.xls]资产表(年初数)'!$A:$I</t>
  </si>
  <si>
    <t>序列</t>
    <phoneticPr fontId="1" type="noConversion"/>
  </si>
  <si>
    <t>表名</t>
  </si>
  <si>
    <t>成县2008年第二批无电地区通电工程</t>
  </si>
  <si>
    <t>宕昌县2008年第二批无电地区通电工程</t>
  </si>
  <si>
    <t>徽县2008年第二批无电地区通电工程</t>
  </si>
  <si>
    <t>康县2008年第二批无电地区通电工程</t>
  </si>
  <si>
    <t>成县客户服务中心2008年第二批无电地区通电工程</t>
  </si>
  <si>
    <t>礼县2008年第二批无电地区通电工程</t>
  </si>
  <si>
    <t>礼县恢复工程</t>
  </si>
  <si>
    <t>两当县2008年第二批无电地区通电工程</t>
  </si>
  <si>
    <t>文县2008年第二批无电地区通电工程</t>
  </si>
  <si>
    <t>碧口区2008年异地搬迁配套通电工程</t>
  </si>
  <si>
    <t>武都区2008年第二批无电地区通电工程</t>
  </si>
  <si>
    <t>西和县2008年第二批无电地区通电工程</t>
  </si>
  <si>
    <t>小表名重命名</t>
    <phoneticPr fontId="1" type="noConversion"/>
  </si>
  <si>
    <t>新表名</t>
    <phoneticPr fontId="1" type="noConversion"/>
  </si>
  <si>
    <t>徽县2009年农网完善（第三批扩大内需）10千伏及以下工程</t>
  </si>
  <si>
    <t>康县2009年农网完善（第三批扩大内需）10千伏及以下工程</t>
  </si>
  <si>
    <t>礼县2009年农网完善（第三批扩大内需）10千伏及以下工程</t>
  </si>
  <si>
    <t>两当县2009年农网完善（第三批扩大内需）10千伏及以下工程</t>
  </si>
  <si>
    <t>文县2009年农网完善（第三批扩大内需）10千伏及以下工程</t>
  </si>
  <si>
    <t>文县碧口2009年农网完善（第三批扩大内需）10千伏及以下工程</t>
  </si>
  <si>
    <t>武都区2009年农网完善（第三批扩大内需）10千伏及以下工程</t>
  </si>
  <si>
    <t>10kV开关站变电工程</t>
  </si>
  <si>
    <t>10kV开关站送电线路工程</t>
  </si>
  <si>
    <t>35千伏东江送电线路工程</t>
  </si>
  <si>
    <t>10千伏送电线路工程</t>
  </si>
  <si>
    <t>110KV黄渚变电所工程</t>
  </si>
  <si>
    <t>110KV江洛变电站扩建工程</t>
  </si>
  <si>
    <t>110kV黄渚变电站工程灾后重建项目</t>
  </si>
  <si>
    <t>光纤通信工程</t>
  </si>
  <si>
    <t>成县110千伏王磨变35千伏送出工程</t>
  </si>
  <si>
    <t>成县110千伏王磨变10千伏送出工程</t>
  </si>
  <si>
    <t>2-6-9、10kV开关站变电工程</t>
  </si>
  <si>
    <t>2-6-10、10kV开关站送电线路工程</t>
  </si>
  <si>
    <t>2-7-1、35千伏东江送电线路工程</t>
  </si>
  <si>
    <t>2-7-2、10千伏送电线路工程</t>
  </si>
  <si>
    <t>2-8-1、110KV黄渚变电所工程</t>
  </si>
  <si>
    <t>2-8-2、110KV江洛变电站扩建工程</t>
  </si>
  <si>
    <t>2-8-3、110kV黄渚变电站工程灾后重建项目</t>
  </si>
  <si>
    <t>2-8-4、光纤通信工程</t>
  </si>
  <si>
    <t>2-9-1、成县110千伏王磨变35千伏送出工程</t>
  </si>
  <si>
    <t>2-9-2、成县110千伏王磨变10千伏送出工程</t>
  </si>
  <si>
    <t>2-6-2、徽县2009年农网完善（第三批扩大内需）10千</t>
  </si>
  <si>
    <t>2-6-3、康县2009年农网完善（第三批扩大内需）10千</t>
  </si>
  <si>
    <t>2-6-4、礼县2009年农网完善（第三批扩大内需）10千</t>
  </si>
  <si>
    <t>2-6-5、两当县2009年农网完善（第三批扩大内需）10千</t>
  </si>
  <si>
    <t>2-6-6、文县2009年农网完善（第三批扩大内需）10千</t>
  </si>
  <si>
    <t>2-6-7、文县碧口2009年农网完善（第三批扩大内需）10千</t>
  </si>
  <si>
    <t>2-6-8、武都区2009年农网完善（第三批扩大内需）10千</t>
  </si>
  <si>
    <t>数据筛选</t>
    <phoneticPr fontId="1" type="noConversion"/>
  </si>
  <si>
    <t>甘肃省电力公司白银供电公司</t>
  </si>
  <si>
    <t>甘肃省电力公司定西供电公司</t>
  </si>
  <si>
    <t>甘肃省电力公司甘南供电公司</t>
  </si>
  <si>
    <t>甘肃省电力公司嘉峪关供电公司</t>
  </si>
  <si>
    <t>甘肃省电力公司金昌供电公司</t>
  </si>
  <si>
    <t>甘肃省电力公司酒泉超高压输变电公司</t>
  </si>
  <si>
    <t>甘肃省电力公司酒泉供电公司</t>
  </si>
  <si>
    <t>甘肃省电力公司兰州超高压输变电公司</t>
  </si>
  <si>
    <t>甘肃省电力公司兰州供电公司</t>
  </si>
  <si>
    <t>甘肃省电力公司刘家峡水电厂</t>
  </si>
  <si>
    <t>甘肃省电力公司陇南供电公司</t>
  </si>
  <si>
    <t>甘肃省电力公司平凉供电公司</t>
  </si>
  <si>
    <t>甘肃省电力公司天水超高压输变电公司</t>
  </si>
  <si>
    <t>甘肃省电力公司天水供电公司</t>
  </si>
  <si>
    <t>甘肃省电力公司武威供电公司</t>
  </si>
  <si>
    <t>甘肃省电力公司张掖供电公司</t>
  </si>
  <si>
    <t>行数</t>
    <phoneticPr fontId="1" type="noConversion"/>
  </si>
  <si>
    <t>表头</t>
    <phoneticPr fontId="1" type="noConversion"/>
  </si>
  <si>
    <t>表尾</t>
    <phoneticPr fontId="1" type="noConversion"/>
  </si>
  <si>
    <t>C:\Users\Administrator\Desktop\中瑞岳华-田坤\提供\甘肃省电力公司定西供电公司.xls</t>
  </si>
  <si>
    <t>C:\Users\Administrator\Desktop\中瑞岳华-田坤\提供\甘肃省电力公司甘南供电公司.xls</t>
  </si>
  <si>
    <t>C:\Users\Administrator\Desktop\中瑞岳华-田坤\提供\甘肃省电力公司机关财务.xls</t>
  </si>
  <si>
    <t>C:\Users\Administrator\Desktop\中瑞岳华-田坤\提供\甘肃省电力公司嘉峪关供电公司.xls</t>
  </si>
  <si>
    <t>C:\Users\Administrator\Desktop\中瑞岳华-田坤\提供\甘肃省电力公司金昌供电公司.xls</t>
  </si>
  <si>
    <t>C:\Users\Administrator\Desktop\中瑞岳华-田坤\提供\甘肃省电力公司酒泉超高压输变电公司.xls</t>
  </si>
  <si>
    <t>C:\Users\Administrator\Desktop\中瑞岳华-田坤\提供\甘肃省电力公司酒泉供电公司.xls</t>
  </si>
  <si>
    <t>C:\Users\Administrator\Desktop\中瑞岳华-田坤\提供\甘肃省电力公司兰州超高压输变电公司.xls</t>
  </si>
  <si>
    <t>C:\Users\Administrator\Desktop\中瑞岳华-田坤\提供\甘肃省电力公司兰州供电公司.xls</t>
  </si>
  <si>
    <t>C:\Users\Administrator\Desktop\中瑞岳华-田坤\提供\甘肃省电力公司刘家峡水电厂.xls</t>
  </si>
  <si>
    <t>C:\Users\Administrator\Desktop\中瑞岳华-田坤\提供\甘肃省电力公司陇南供电公司.xls</t>
  </si>
  <si>
    <t>C:\Users\Administrator\Desktop\中瑞岳华-田坤\提供\甘肃省电力公司平凉供电公司.xls</t>
  </si>
  <si>
    <t>C:\Users\Administrator\Desktop\中瑞岳华-田坤\提供\甘肃省电力公司庆阳供电公司.xls</t>
  </si>
  <si>
    <t>C:\Users\Administrator\Desktop\中瑞岳华-田坤\提供\甘肃省电力公司天水超高压输变电公司.xls</t>
  </si>
  <si>
    <t>C:\Users\Administrator\Desktop\中瑞岳华-田坤\提供\甘肃省电力公司天水供电公司.xls</t>
  </si>
  <si>
    <t>C:\Users\Administrator\Desktop\中瑞岳华-田坤\提供\甘肃省电力公司武威供电公司.xls</t>
  </si>
  <si>
    <t>C:\Users\Administrator\Desktop\中瑞岳华-田坤\提供\甘肃省电力公司信息通信中心.xls</t>
  </si>
  <si>
    <t>C:\Users\Administrator\Desktop\中瑞岳华-田坤\提供\甘肃省电力公司张掖供电公司.xls</t>
  </si>
  <si>
    <t>C:\Users\Administrator\Desktop\中瑞岳华-田坤\提供\甘肃省电力公司白银供电公司.xls</t>
    <phoneticPr fontId="1" type="noConversion"/>
  </si>
  <si>
    <t>甘肃省电力公司白银供电公司.xls</t>
  </si>
  <si>
    <t>甘肃省电力公司定西供电公司.xls</t>
  </si>
  <si>
    <t>甘肃省电力公司甘南供电公司.xls</t>
  </si>
  <si>
    <t>甘肃省电力公司机关财务.xls</t>
  </si>
  <si>
    <t>甘肃省电力公司嘉峪关供电公司.xls</t>
  </si>
  <si>
    <t>甘肃省电力公司金昌供电公司.xls</t>
  </si>
  <si>
    <t>甘肃省电力公司酒泉超高压输变电公司.xls</t>
  </si>
  <si>
    <t>甘肃省电力公司酒泉供电公司.xls</t>
  </si>
  <si>
    <t>甘肃省电力公司兰州超高压输变电公司.xls</t>
  </si>
  <si>
    <t>甘肃省电力公司兰州供电公司.xls</t>
  </si>
  <si>
    <t>甘肃省电力公司刘家峡水电厂.xls</t>
  </si>
  <si>
    <t>甘肃省电力公司陇南供电公司.xls</t>
  </si>
  <si>
    <t>甘肃省电力公司平凉供电公司.xls</t>
  </si>
  <si>
    <t>甘肃省电力公司庆阳供电公司.xls</t>
  </si>
  <si>
    <t>甘肃省电力公司天水超高压输变电公司.xls</t>
  </si>
  <si>
    <t>甘肃省电力公司天水供电公司.xls</t>
  </si>
  <si>
    <t>甘肃省电力公司武威供电公司.xls</t>
  </si>
  <si>
    <t>甘肃省电力公司信息通信中心.xls</t>
  </si>
  <si>
    <t>甘肃省电力公司张掖供电公司.xls</t>
  </si>
  <si>
    <t>拆分表名</t>
  </si>
  <si>
    <t>起</t>
  </si>
  <si>
    <t>行数</t>
  </si>
  <si>
    <t>止</t>
  </si>
  <si>
    <t>甘肃省电力公司检修公司</t>
  </si>
  <si>
    <t>甘肃省电力公司建设公司</t>
  </si>
  <si>
    <t>甘肃省电力公司庆阳供电公司</t>
  </si>
  <si>
    <t>甘肃省电力公司信息通信公司</t>
  </si>
  <si>
    <t>临夏电力有限责任公司</t>
  </si>
  <si>
    <t>IF(D3="",E2,C5)</t>
    <phoneticPr fontId="1" type="noConversion"/>
  </si>
  <si>
    <t>复制数字</t>
    <phoneticPr fontId="1" type="noConversion"/>
  </si>
  <si>
    <t>科目性质</t>
    <phoneticPr fontId="4" type="noConversion"/>
  </si>
  <si>
    <t>年份</t>
    <phoneticPr fontId="4" type="noConversion"/>
  </si>
  <si>
    <t>科目代码</t>
    <phoneticPr fontId="4" type="noConversion"/>
  </si>
  <si>
    <t>科目名称</t>
    <phoneticPr fontId="4" type="noConversion"/>
  </si>
  <si>
    <t>一级科目</t>
    <phoneticPr fontId="4" type="noConversion"/>
  </si>
  <si>
    <t>单位名称</t>
    <phoneticPr fontId="4" type="noConversion"/>
  </si>
  <si>
    <t>核算项目</t>
    <phoneticPr fontId="4" type="noConversion"/>
  </si>
  <si>
    <t>期末余额</t>
    <phoneticPr fontId="4" type="noConversion"/>
  </si>
  <si>
    <t>发生额</t>
    <phoneticPr fontId="4" type="noConversion"/>
  </si>
  <si>
    <t>本期发生额-贷方</t>
  </si>
  <si>
    <t>本期发生额-借方</t>
  </si>
  <si>
    <t>小表名</t>
    <phoneticPr fontId="1" type="noConversion"/>
  </si>
  <si>
    <t>添加文件夹</t>
    <phoneticPr fontId="4" type="noConversion"/>
  </si>
  <si>
    <t>5900实收资本（股本）</t>
  </si>
  <si>
    <t>5940一般准备</t>
  </si>
  <si>
    <t>5950盈余公积</t>
  </si>
  <si>
    <t>5970未分配利润</t>
  </si>
  <si>
    <t>6100营业收入及成本</t>
  </si>
  <si>
    <t>6300营业税金及附加</t>
  </si>
  <si>
    <t>6330管理费用</t>
  </si>
  <si>
    <t>6370资产减值损失</t>
  </si>
  <si>
    <t>6450投资收益</t>
  </si>
  <si>
    <t>6500营业外收入</t>
  </si>
  <si>
    <t>6550营业外支出</t>
  </si>
  <si>
    <t>D:\中瑞岳华\项目\秦农银行\底稿-程\2012</t>
  </si>
  <si>
    <t>编码规则</t>
    <phoneticPr fontId="1" type="noConversion"/>
  </si>
  <si>
    <t>收</t>
    <phoneticPr fontId="1" type="noConversion"/>
  </si>
  <si>
    <t>转</t>
    <phoneticPr fontId="1" type="noConversion"/>
  </si>
  <si>
    <t>付</t>
    <phoneticPr fontId="1" type="noConversion"/>
  </si>
  <si>
    <t>凭证类别</t>
    <phoneticPr fontId="1" type="noConversion"/>
  </si>
  <si>
    <t>月份</t>
    <phoneticPr fontId="1" type="noConversion"/>
  </si>
  <si>
    <t>凭证号</t>
    <phoneticPr fontId="1" type="noConversion"/>
  </si>
  <si>
    <t>记账凭证准确性</t>
  </si>
  <si>
    <t>冲销凭证记账准确性</t>
  </si>
  <si>
    <t>记账凭证处理及时率</t>
  </si>
  <si>
    <t>凭证编号</t>
  </si>
  <si>
    <t>集成率</t>
  </si>
  <si>
    <t>月份</t>
  </si>
  <si>
    <t>事务代码</t>
  </si>
  <si>
    <t>参考交易</t>
  </si>
  <si>
    <t>参考码 (标题) 1</t>
  </si>
  <si>
    <t>参考码 (抬头) 2</t>
  </si>
  <si>
    <t>输入日期</t>
  </si>
  <si>
    <t>特殊凭证</t>
  </si>
  <si>
    <t>凭证类型</t>
    <phoneticPr fontId="1" type="noConversion"/>
  </si>
  <si>
    <t>过账日期</t>
    <phoneticPr fontId="1" type="noConversion"/>
  </si>
  <si>
    <t>利润中心</t>
    <phoneticPr fontId="1" type="noConversion"/>
  </si>
  <si>
    <t>公司代码</t>
  </si>
  <si>
    <t>会计年度</t>
  </si>
  <si>
    <t>已输入从</t>
  </si>
  <si>
    <t>会计年度</t>
    <phoneticPr fontId="1" type="noConversion"/>
  </si>
  <si>
    <t>自定义函数</t>
  </si>
  <si>
    <t>T_between</t>
  </si>
  <si>
    <t>T_findint</t>
  </si>
  <si>
    <t>T_findchar</t>
  </si>
  <si>
    <t>t_findchinese</t>
  </si>
  <si>
    <t>t_cfl</t>
  </si>
  <si>
    <t>t_vlookup</t>
  </si>
  <si>
    <t>t_findlast</t>
  </si>
  <si>
    <t>Money</t>
  </si>
  <si>
    <t>t_findsame</t>
  </si>
  <si>
    <t>t_gs_num</t>
  </si>
  <si>
    <t>复印粘贴</t>
  </si>
  <si>
    <t>替换</t>
  </si>
  <si>
    <t>批量—合并</t>
  </si>
  <si>
    <t>添加文件夹</t>
  </si>
  <si>
    <t>筛选</t>
  </si>
  <si>
    <t>关闭文件</t>
  </si>
  <si>
    <t>数据透视表</t>
  </si>
  <si>
    <t>小表名重命名</t>
  </si>
  <si>
    <t>转换为数值</t>
  </si>
  <si>
    <t>文件管理</t>
  </si>
  <si>
    <t>修改文件名</t>
  </si>
  <si>
    <t>添加目录表及超链接</t>
  </si>
  <si>
    <t>撤消工作表保护</t>
  </si>
  <si>
    <t>合并目录下多电子表</t>
  </si>
  <si>
    <t>合并多小表</t>
  </si>
  <si>
    <t>选择至最后行</t>
  </si>
  <si>
    <t>合并为一列</t>
  </si>
  <si>
    <t>筛选状态下粘贴</t>
  </si>
  <si>
    <t>复制全部单元格</t>
  </si>
  <si>
    <t>求和</t>
  </si>
  <si>
    <t>复制多重区域</t>
  </si>
  <si>
    <t>插入对号</t>
  </si>
  <si>
    <t>显示行列</t>
  </si>
  <si>
    <t>单元格调换</t>
  </si>
  <si>
    <t>删除空白行列</t>
  </si>
  <si>
    <t>去空格</t>
  </si>
  <si>
    <t>转正值</t>
  </si>
  <si>
    <t>填充公式</t>
  </si>
  <si>
    <t>复制</t>
  </si>
  <si>
    <t>删除图片</t>
  </si>
  <si>
    <t>格式调整0数字</t>
  </si>
  <si>
    <t>格式调整0文本</t>
  </si>
  <si>
    <t>边框</t>
  </si>
  <si>
    <t>调整列顺序</t>
  </si>
  <si>
    <t>数据比较</t>
  </si>
  <si>
    <t>调整表顺序</t>
  </si>
  <si>
    <t>打印设置</t>
  </si>
  <si>
    <t>报告附表</t>
  </si>
  <si>
    <t>合并</t>
  </si>
  <si>
    <t>拆分合并单元格</t>
  </si>
  <si>
    <t>重复上一单元格</t>
  </si>
  <si>
    <t>合一对多</t>
  </si>
  <si>
    <t>合并单元格</t>
  </si>
  <si>
    <t>合计金额并合并</t>
  </si>
  <si>
    <t>拆分表</t>
  </si>
  <si>
    <t>VBA功能</t>
    <phoneticPr fontId="1" type="noConversion"/>
  </si>
  <si>
    <t>文件</t>
    <phoneticPr fontId="1" type="noConversion"/>
  </si>
  <si>
    <t>类别</t>
    <phoneticPr fontId="1" type="noConversion"/>
  </si>
  <si>
    <t>格式整理</t>
    <phoneticPr fontId="1" type="noConversion"/>
  </si>
  <si>
    <t>格式整理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</si>
  <si>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</si>
  <si>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</si>
  <si>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</si>
  <si>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</si>
  <si>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</si>
  <si>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</si>
  <si>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常用功能</t>
    <phoneticPr fontId="1" type="noConversion"/>
  </si>
  <si>
    <t>常用功能</t>
    <phoneticPr fontId="1" type="noConversion"/>
  </si>
  <si>
    <t>常用功能</t>
    <phoneticPr fontId="1" type="noConversion"/>
  </si>
  <si>
    <t>自定义函数.xlsm</t>
    <phoneticPr fontId="1" type="noConversion"/>
  </si>
  <si>
    <t>编码</t>
    <phoneticPr fontId="1" type="noConversion"/>
  </si>
  <si>
    <t>编码方式</t>
    <phoneticPr fontId="1" type="noConversion"/>
  </si>
  <si>
    <t>文件</t>
    <phoneticPr fontId="1" type="noConversion"/>
  </si>
  <si>
    <t>占位</t>
    <phoneticPr fontId="1" type="noConversion"/>
  </si>
  <si>
    <t>功能</t>
    <phoneticPr fontId="1" type="noConversion"/>
  </si>
  <si>
    <t>底稿目录</t>
  </si>
  <si>
    <t>底稿索引</t>
  </si>
  <si>
    <t>生成表头公式</t>
  </si>
  <si>
    <t>明细0长期挂账表</t>
  </si>
  <si>
    <t>生成底稿明细</t>
  </si>
  <si>
    <t>审计说明</t>
  </si>
  <si>
    <t>程序表索引</t>
  </si>
  <si>
    <t>生成附件说明</t>
  </si>
  <si>
    <t>通用检查表筛选</t>
  </si>
  <si>
    <t>科目余额表格式</t>
  </si>
  <si>
    <t>科目全称</t>
  </si>
  <si>
    <t>方向合一列</t>
  </si>
  <si>
    <t>标志列0凭证编码</t>
  </si>
  <si>
    <t>序时账借贷</t>
  </si>
  <si>
    <t>合并报表</t>
  </si>
  <si>
    <t>试算平衡表合并</t>
  </si>
  <si>
    <t>保留公式</t>
  </si>
  <si>
    <t>底稿模板</t>
    <phoneticPr fontId="1" type="noConversion"/>
  </si>
  <si>
    <t>底稿模板</t>
    <phoneticPr fontId="1" type="noConversion"/>
  </si>
  <si>
    <t>底稿模板</t>
    <phoneticPr fontId="1" type="noConversion"/>
  </si>
  <si>
    <t>底稿模板</t>
    <phoneticPr fontId="1" type="noConversion"/>
  </si>
  <si>
    <t>凭证</t>
    <phoneticPr fontId="1" type="noConversion"/>
  </si>
  <si>
    <t>中瑞岳华.xlsm</t>
    <phoneticPr fontId="1" type="noConversion"/>
  </si>
  <si>
    <t>辅助码</t>
    <phoneticPr fontId="1" type="noConversion"/>
  </si>
  <si>
    <t>t_partstr</t>
    <phoneticPr fontId="1" type="noConversion"/>
  </si>
  <si>
    <t>取原文本指定位置字符拼接</t>
    <phoneticPr fontId="1" type="noConversion"/>
  </si>
  <si>
    <t>功能</t>
    <phoneticPr fontId="1" type="noConversion"/>
  </si>
  <si>
    <t>RegUDF</t>
  </si>
  <si>
    <t>系统功能</t>
    <phoneticPr fontId="1" type="noConversion"/>
  </si>
  <si>
    <t>注册自定义函数</t>
    <phoneticPr fontId="1" type="noConversion"/>
  </si>
  <si>
    <t>修改文件夹名</t>
    <phoneticPr fontId="1" type="noConversion"/>
  </si>
  <si>
    <t>修改文件夹名</t>
    <phoneticPr fontId="4" type="noConversion"/>
  </si>
  <si>
    <t>新文件夹名</t>
    <phoneticPr fontId="4" type="noConversion"/>
  </si>
  <si>
    <t>原文件夹名</t>
    <phoneticPr fontId="4" type="noConversion"/>
  </si>
  <si>
    <t>原文件名及路径</t>
    <phoneticPr fontId="4" type="noConversion"/>
  </si>
  <si>
    <t>新文件名</t>
    <phoneticPr fontId="4" type="noConversion"/>
  </si>
  <si>
    <t>批量替换文件名</t>
    <phoneticPr fontId="1" type="noConversion"/>
  </si>
  <si>
    <t>I:\咸阳公司兴平分公司\1.前提条件\</t>
  </si>
  <si>
    <t>1.1-内外部检查中不存在重大违法、违规和重大处罚问题-咸阳公司兴平分公司</t>
  </si>
  <si>
    <t>1.1-内外部检查中不存在重大违法、违规和重大处罚问题</t>
  </si>
  <si>
    <t>1.2-会计人员不存在重大违法、违纪行为-咸阳公司兴平分公司</t>
  </si>
  <si>
    <t>1.2-会计人员不存在重大违法、违纪行为</t>
  </si>
  <si>
    <t>1.3-对外投资、担保、借款等不发生重大损失-咸阳公司兴平分公司</t>
  </si>
  <si>
    <t>1.3-对外投资、担保、借款等不发生重大损失</t>
  </si>
  <si>
    <t>1.4-会计主体设置合规-咸阳公司兴平分公司</t>
  </si>
  <si>
    <t>1.4-会计主体设置合规</t>
  </si>
  <si>
    <t>1.5-会计主体变更合规-咸阳公司兴平分公司</t>
  </si>
  <si>
    <t>1.5-会计主体变更合规</t>
  </si>
  <si>
    <t>1.6-会计政策规范统一-咸阳公司兴平分公司</t>
  </si>
  <si>
    <t>1.6-会计政策规范统一</t>
  </si>
  <si>
    <t>I:\咸阳公司兴平分公司\2.基础考评资料\</t>
  </si>
  <si>
    <t>2.1-岗位匹配合规性-咸阳公司兴平分公司</t>
  </si>
  <si>
    <t>2.1-岗位匹配合规性</t>
  </si>
  <si>
    <t>2.10-内部监督执行有效性-咸阳公司兴平分公司</t>
  </si>
  <si>
    <t>2.10-内部监督执行有效性</t>
  </si>
  <si>
    <t>2.11-印鉴、密钥管理合规性-咸阳公司兴平分公司</t>
  </si>
  <si>
    <t>2.11-印鉴、密钥管理合规性</t>
  </si>
  <si>
    <t>2.12-发票管理规范性-咸阳公司兴平分公司</t>
  </si>
  <si>
    <t>2.12-发票管理规范性</t>
  </si>
  <si>
    <t>2.13-原始凭证完整、合规性-收入业务原始凭证齐全合规-咸阳公司兴平分公司</t>
  </si>
  <si>
    <t>2.13-原始凭证完整、合规性-收入业务原始凭证齐全合规</t>
  </si>
  <si>
    <t>2.14-原始凭证完整、合规性-成本费用业务原始凭证齐-咸阳公司兴平分公司全合规</t>
  </si>
  <si>
    <t>2.14-原始凭证完整、合规性-成本费用业务原始凭证齐全合规</t>
  </si>
  <si>
    <t>2.15-原始凭证完整、合规性-资产业务原始凭证齐全合规-咸阳公司兴平分公司</t>
  </si>
  <si>
    <t>2.15-原始凭证完整、合规性-资产业务原始凭证齐全合规</t>
  </si>
  <si>
    <t>2.16-原始凭证完整、合规性-负债业务原始凭证齐全合规-咸阳公司兴平分公司</t>
  </si>
  <si>
    <t>2.16-原始凭证完整、合规性-负债业务原始凭证齐全合规</t>
  </si>
  <si>
    <t>2.17-原始凭证完整、合规性-所有者权益业务原始凭证齐全合规-咸阳公司兴平分公司</t>
  </si>
  <si>
    <t>2.17-原始凭证完整、合规性-所有者权益业务原始凭证齐全合规</t>
  </si>
  <si>
    <t>2.18-原始凭证完整、合规性-其他业务原始凭证齐全合规-咸阳公司兴平分公司</t>
  </si>
  <si>
    <t>2.18-原始凭证完整、合规性-其他业务原始凭证齐全合规</t>
  </si>
  <si>
    <t>2.19-审批流程合规性-咸阳公司兴平分公司</t>
  </si>
  <si>
    <t>2.19-审批流程合规性</t>
  </si>
  <si>
    <t>2.2-会计人员上岗合规性-从业资格-咸阳公司兴平分公司</t>
  </si>
  <si>
    <t>2.2-会计人员上岗合规性-从业资格</t>
  </si>
  <si>
    <t>2.20-记账凭证要素齐全、合规性-咸阳公司兴平分公司</t>
  </si>
  <si>
    <t>2.20-记账凭证要素齐全、合规性</t>
  </si>
  <si>
    <t>2.21-记账规则执行规范性-收入业务账务处理规范性-咸阳公司兴平分公司</t>
  </si>
  <si>
    <t>2.21-记账规则执行规范性-收入业务账务处理规范性</t>
  </si>
  <si>
    <t>2.22-记账规则执行规范性-成本费用业务账务处理规范性-咸阳公司兴平分公司</t>
  </si>
  <si>
    <t>2.22-记账规则执行规范性-成本费用业务账务处理规范性</t>
  </si>
  <si>
    <t>2.23-记账规则执行规范性-资产业务账务处理规范性-咸阳公司兴平分公司</t>
  </si>
  <si>
    <t>2.23-记账规则执行规范性-资产业务账务处理规范性</t>
  </si>
  <si>
    <t>2.24-记账规则执行规范性-负债业务账务处理规范性-咸阳公司兴平分公司</t>
  </si>
  <si>
    <t>2.24-记账规则执行规范性-负债业务账务处理规范性</t>
  </si>
  <si>
    <t>2.25-记账规则执行规范性-其他业务账务处理规范性-咸阳公司兴平分公司</t>
  </si>
  <si>
    <t>2.25-记账规则执行规范性-其他业务账务处理规范性</t>
  </si>
  <si>
    <t>2.3-会计人员上岗合规性-任职条件-咸阳公司兴平分公司</t>
  </si>
  <si>
    <t>2.3-会计人员上岗合规性-任职条件</t>
  </si>
  <si>
    <t>2.4-会计人员上岗合规性-岗位轮换-咸阳公司兴平分公司</t>
  </si>
  <si>
    <t>2.4-会计人员上岗合规性-岗位轮换</t>
  </si>
  <si>
    <t>2.5-会计上岗合规性-回避制度-咸阳公司兴平分公司</t>
  </si>
  <si>
    <t>2.5-会计上岗合规性-回避制度</t>
  </si>
  <si>
    <t>2.50-报告数据准确性-账实一致性-咸阳公司兴平分公司</t>
  </si>
  <si>
    <t>2.50-报告数据准确性-账实一致性</t>
  </si>
  <si>
    <t>2.51-报告数据准确性-账表一致性-咸阳公司兴平分公司</t>
  </si>
  <si>
    <t>2.51-报告数据准确性-账表一致性</t>
  </si>
  <si>
    <t>2.52-报告数据准确性-表间数据一致性-咸阳公司兴平分公司</t>
  </si>
  <si>
    <t>2.52-报告数据准确性-表间数据一致性</t>
  </si>
  <si>
    <t>2.53-报告资料完整性-报表数据填列完整性-咸阳公司兴平分公司</t>
  </si>
  <si>
    <t>2.53-报告资料完整性-报表数据填列完整性</t>
  </si>
  <si>
    <t>2.54-报告资料完整性-报送资料的完整性-咸阳公司兴平分公司</t>
  </si>
  <si>
    <t>2.54-报告资料完整性-报送资料的完整性</t>
  </si>
  <si>
    <t>2.55-报告报送及时性-咸阳公司兴平分公司</t>
  </si>
  <si>
    <t>2.55-报告报送及时性</t>
  </si>
  <si>
    <t>2.56-财务信息对外披露规范性-咸阳公司兴平分公司</t>
  </si>
  <si>
    <t>2.56-财务信息对外披露规范性</t>
  </si>
  <si>
    <t>2.57-会计档案归档及时性-会计档案整理及时性-咸阳公司兴平分公司</t>
  </si>
  <si>
    <t>2.57-会计档案归档及时性-会计档案整理及时性</t>
  </si>
  <si>
    <t>2.58-会计档案归档及时性-会计档案移交及时性-咸阳公司兴平分公司</t>
  </si>
  <si>
    <t>2.58-会计档案归档及时性-会计档案移交及时性</t>
  </si>
  <si>
    <t>2.59-会计档案管理合规性-会计档案整理质量-咸阳公司兴平分公司</t>
  </si>
  <si>
    <t>2.59-会计档案管理合规性-会计档案整理质量</t>
  </si>
  <si>
    <t>2.6-会计人员信息完整、准确性-咸阳公司兴平分公司</t>
  </si>
  <si>
    <t>2.6-会计人员信息完整、准确性</t>
  </si>
  <si>
    <t>2.60-会计档案管理合规性-会计档案管理合规性-会计档案移交、借阅、销毁手续执行-咸阳公司兴平分公司</t>
  </si>
  <si>
    <t>2.60-会计档案管理合规性-会计档案管理合规性-会计档案移交、借阅、销毁手续执行</t>
  </si>
  <si>
    <t>2.61-会计档案安全性-纸制档案保存完整-咸阳公司兴平分公司</t>
  </si>
  <si>
    <t>2.61-会计档案安全性-纸制档案保存完整</t>
  </si>
  <si>
    <t>2.62-会计档案安全性-电子档案备份、保管-咸阳公司兴平分公司</t>
  </si>
  <si>
    <t>2.62-会计档案安全性-电子档案备份、保管</t>
  </si>
  <si>
    <t>2.63-会计档案安全性-会计档案保密-咸阳公司兴平分公司</t>
  </si>
  <si>
    <t>2.63-会计档案安全性-会计档案保密</t>
  </si>
  <si>
    <t>2.7-中级及以上职称取得率-咸阳公司兴平分公司</t>
  </si>
  <si>
    <t>2.7-中级及以上职称取得率</t>
  </si>
  <si>
    <t>2.8-会计工作交接合规性-会计工作交接规定执行合规-咸阳公司兴平分公司</t>
  </si>
  <si>
    <t>2.8-会计工作交接合规性-会计工作交接规定执行合规</t>
  </si>
  <si>
    <t>2.9-会计工作交接合规性-交接工作完成后系统中岗位设置调整及权限变更合规-咸阳公司兴平分公司</t>
  </si>
  <si>
    <t>2.9-会计工作交接合规性-交接工作完成后系统中岗位设置调整及权限变更合规</t>
  </si>
  <si>
    <t>将一个金额按比例分摊至各单元格</t>
    <phoneticPr fontId="1" type="noConversion"/>
  </si>
  <si>
    <t>数据整理</t>
    <phoneticPr fontId="1" type="noConversion"/>
  </si>
  <si>
    <t>分摊金额</t>
    <phoneticPr fontId="1" type="noConversion"/>
  </si>
  <si>
    <t>E:\中瑞诚\项目\天水农网审计\地市部分\10、1827020005天水市中医院备用电源改造工程\3.3.1、投资计划-发展〔2009〕140号.关于下达35千伏及以下电网基建和通信信息化工程调整投资计划的通知.1026.wps</t>
  </si>
  <si>
    <t>E:\中瑞诚\项目\天水农网审计\地市部分\11、18270200072009年配网柱上油开关更换工程\3.1.1、可研批复-关于天水市2009年10千伏及以下城市电网建设项目可研审查意见的通知生技〔2009〕144号.wps</t>
  </si>
  <si>
    <t>E:\中瑞诚\项目\天水农网审计\地市部分\11、18270200072009年配网柱上油开关更换工程\3.2.1、初设批复-天供司生〔2010〕55号(关于《天水市2009年10千伏及以下城市电网建设项目初设审查意见》的报告).wps</t>
  </si>
  <si>
    <t>E:\中瑞诚\项目\天水农网审计\地市部分\11、18270200072009年配网柱上油开关更换工程\3.3.1、投资计划-发展〔2009〕140号.关于下达35千伏及以下电网基建和通信信息化工程调整投资计划的通知.1026.wps</t>
  </si>
  <si>
    <t>E:\中瑞诚\项目\天水农网审计\地市部分\12、18270200082009年高耗能淘汰型变压器更换工程\3.1.1、可研批复-关于天水市2009年10千伏及以下城市电网建设项目可研审查意见的通知生技〔2009〕144号.wps</t>
  </si>
  <si>
    <t>E:\中瑞诚\项目\天水农网审计\地市部分\12、18270200082009年高耗能淘汰型变压器更换工程\3.2.1、初设批复-天供司生〔2010〕55号(关于《天水市2009年10千伏及以下城市电网建设项目初设审查意见》的报告).wps</t>
  </si>
  <si>
    <t>E:\中瑞诚\项目\天水农网审计\地市部分\12、18270200082009年高耗能淘汰型变压器更换工程\3.3.1、投资计划-发展〔2009〕140号.关于下达35千伏及以下电网基建和通信信息化工程调整投资计划的通知.1026.wps</t>
  </si>
  <si>
    <t>E:\中瑞诚\项目\天水农网审计\地市部分\13、1827021000062009年瀛池路跨越路面土建工程\3.1.1、可研批复-关于天水市2009年10千伏及以下城市电网建设项目可研审查意见的通知生技〔2009〕144号.wps</t>
  </si>
  <si>
    <t>E:\中瑞诚\项目\天水农网审计\地市部分\13、1827021000062009年瀛池路跨越路面土建工程\3.2.1、初设批复-天供司生〔2010〕55号(关于《天水市2009年10千伏及以下城市电网建设项目初设审查意见》的报告).wps</t>
  </si>
  <si>
    <t>E:\中瑞诚\项目\天水农网审计\地市部分\13、1827021000062009年瀛池路跨越路面土建工程\3.3.1、投资计划-发展〔2009〕140号.关于下达35千伏及以下电网基建和通信信息化工程调整投资计划的通知.1026.wps</t>
  </si>
  <si>
    <t>E:\中瑞诚\项目\天水农网审计\地市部分\14、1827020010北变120线路改造工程\3.1.1、可研批复-关于天水市2009年10千伏及以下城市电网建设项目可研审查意见的通知生技〔2009〕144号.wps</t>
  </si>
  <si>
    <t>E:\中瑞诚\项目\天水农网审计\地市部分\14、1827020010北变120线路改造工程\3.2.1、初设批复-天供司生〔2010〕55号(关于《天水市2009年10千伏及以下城市电网建设项目初设审查意见》的报告).wps</t>
  </si>
  <si>
    <t>E:\中瑞诚\项目\天水农网审计\地市部分\14、1827020010北变120线路改造工程\3.3.1、投资计划-发展〔2009〕140号.关于下达35千伏及以下电网基建和通信信息化工程调整投资计划的通知.1026.wps</t>
  </si>
  <si>
    <t>E:\中瑞诚\项目\天水农网审计\地市部分\15、1827020011秦西纬三路石变114改线工程\3.1.1、可研批复-关于天水市2009年10千伏及以下城市电网建设项目可研审查意见的通知生技〔2009〕144号.wps</t>
  </si>
  <si>
    <t>E:\中瑞诚\项目\天水农网审计\地市部分\15、1827020011秦西纬三路石变114改线工程\3.2.1、初设批复-天供司生〔2010〕55号(关于《天水市2009年10千伏及以下城市电网建设项目初设审查意见》的报告).wps</t>
  </si>
  <si>
    <t>E:\中瑞诚\项目\天水农网审计\地市部分\15、1827020011秦西纬三路石变114改线工程\3.3.1、投资计划-发展〔2009〕140号.关于下达35千伏及以下电网基建和通信信息化工程调整投资计划的通知.1026.wps</t>
  </si>
  <si>
    <t>E:\中瑞诚\项目\天水农网审计\地市部分\16、1827020012甘谷县滨河南路线路工程\3.1.1、可研批复-关于天水市2009年10千伏及以下城市电网建设项目可研审查意见的通知生技〔2009〕144号.wps</t>
  </si>
  <si>
    <t>E:\中瑞诚\项目\天水农网审计\地市部分\16、1827020012甘谷县滨河南路线路工程\3.2.1、初设批复-天供司生〔2010〕55号(关于《天水市2009年10千伏及以下城市电网建设项目初设审查意见》的报告).wps</t>
  </si>
  <si>
    <t>E:\中瑞诚\项目\天水农网审计\地市部分\16、1827020012甘谷县滨河南路线路工程\3.3.1、投资计划-发展〔2009〕140号.关于下达35千伏及以下电网基建和通信信息化工程调整投资计划的通知.1026.wps</t>
  </si>
  <si>
    <t>E:\中瑞诚\项目\天水农网审计\地市部分\17、1827020013秦安县城兴国变121解放路后段线路改造工程\3.1.1、可研批复-关于天水市2009年10千伏及以下城市电网建设项目可研审查意见的通知生技〔2009〕144号.wps</t>
  </si>
  <si>
    <t>E:\中瑞诚\项目\天水农网审计\地市部分\17、1827020013秦安县城兴国变121解放路后段线路改造工程\3.2.1、初设批复-天供司生〔2010〕55号(关于《天水市2009年10千伏及以下城市电网建设项目初设审查意见》的报告).wps</t>
  </si>
  <si>
    <t>E:\中瑞诚\项目\天水农网审计\地市部分\17、1827020013秦安县城兴国变121解放路后段线路改造工程\3.3.1、投资计划-发展〔2009〕140号.关于下达35千伏及以下电网基建和通信信息化工程调整投资计划的通知.1026.wps</t>
  </si>
  <si>
    <t>E:\中瑞诚\项目\天水农网审计\地市部分\18、1827020014兴变112、113滨河路10千伏线路工程\3.1.1、可研批复-关于天水市2009年10千伏及以下城市电网建设项目可研审查意见的通知生技〔2009〕144号.wps</t>
  </si>
  <si>
    <t>E:\中瑞诚\项目\天水农网审计\地市部分\18、1827020014兴变112、113滨河路10千伏线路工程\3.2.1、初设批复-天供司生〔2010〕55号(关于《天水市2009年10千伏及以下城市电网建设项目初设审查意见》的报告).wps</t>
  </si>
  <si>
    <t>E:\中瑞诚\项目\天水农网审计\地市部分\18、1827020014兴变112、113滨河路10千伏线路工程\3.3.1、投资计划-发展〔2009〕140号.关于下达35千伏及以下电网基建和通信信息化工程调整投资计划的通知.1026.wps</t>
  </si>
  <si>
    <t>E:\中瑞诚\项目\天水农网审计\地市部分\19、1827020015武变117线路工程\3.1.1、可研批复-关于天水市2009年10千伏及以下城市电网建设项目可研审查意见的通知生技〔2009〕144号.wps</t>
  </si>
  <si>
    <t>E:\中瑞诚\项目\天水农网审计\地市部分\19、1827020015武变117线路工程\3.2.1、初设批复-天供司生〔2010〕55号(关于《天水市2009年10千伏及以下城市电网建设项目初设审查意见》的报告).wps</t>
  </si>
  <si>
    <t>E:\中瑞诚\项目\天水农网审计\地市部分\19、1827020015武变117线路工程\3.3.1、投资计划-发展〔2009〕140号.关于下达35千伏及以下电网基建和通信信息化工程调整投资计划的通知.1026.wps</t>
  </si>
  <si>
    <t>E:\中瑞诚\项目\天水农网审计\地市部分\1、1827020001110千伏二十里铺变10千伏送出\3.1.1、2008.24号关于天水二十里铺变10kV送出等配网工程可研审查意见的通知.DOC</t>
  </si>
  <si>
    <t>E:\中瑞诚\项目\天水农网审计\地市部分\1、1827020001110千伏二十里铺变10千伏送出\3.3.1、关于下达2008年第二批110千伏送变电及其配网工程投资计划的通知-发展〔2008〕29号.20080417.doc</t>
  </si>
  <si>
    <t>E:\中瑞诚\项目\天水农网审计\地市部分\20、1827020016社变114社堂街分支高低压线路改造工程\3.1.1、可研批复-关于天水市2009年10千伏及以下城市电网建设项目可研审查意见的通知生技〔2009〕144号.wps</t>
  </si>
  <si>
    <t>E:\中瑞诚\项目\天水农网审计\地市部分\20、1827020016社变114社堂街分支高低压线路改造工程\3.2.1、初设批复-天供司生〔2010〕55号(关于《天水市2009年10千伏及以下城市电网建设项目初设审查意见》的报告).wps</t>
  </si>
  <si>
    <t>E:\中瑞诚\项目\天水农网审计\地市部分\20、1827020016社变114社堂街分支高低压线路改造工程\3.3.1、投资计划-发展〔2009〕140号.关于下达35千伏及以下电网基建和通信信息化工程调整投资计划的通知.1026.wps</t>
  </si>
  <si>
    <t>E:\中瑞诚\项目\天水农网审计\地市部分\23、182702100012瀛池路10千伏线路工程\3.1.1、生技〔2010〕85号(关于天水市2010年10千伏及以下配网建设与改造项目可研审查意见的通知).wps</t>
  </si>
  <si>
    <t>E:\中瑞诚\项目\天水农网审计\地市部分\23、182702100012瀛池路10千伏线路工程\3.2.1、初设批复-天供司生〔2010〕483号(关于天水市2010年10千伏及以下配网建设与改造项目初设审查意见的报告).wps</t>
  </si>
  <si>
    <t>E:\中瑞诚\项目\天水农网审计\地市部分\23、182702100012瀛池路10千伏线路工程\3.3.1、发展〔2010〕94号(关于下达2010年电网基建工程第四批投资计划的通知).wps</t>
  </si>
  <si>
    <t>E:\中瑞诚\项目\天水农网审计\地市部分\24、182702100011配网柱上油开关更换工程\3.1.1、生技〔2010〕85号(关于天水市2010年10千伏及以下配网建设与改造项目可研审查意见的通知).wps</t>
  </si>
  <si>
    <t>E:\中瑞诚\项目\天水农网审计\地市部分\24、182702100011配网柱上油开关更换工程\3.2.1、初设批复-天供司生〔2010〕483号(关于天水市2010年10千伏及以下配网建设与改造项目初设审查意见的报告).wps</t>
  </si>
  <si>
    <t>E:\中瑞诚\项目\天水农网审计\地市部分\24、182702100011配网柱上油开关更换工程\3.3.1、发展〔2010〕94号(关于下达2010年电网基建工程第四批投资计划的通知).wps</t>
  </si>
  <si>
    <t>E:\中瑞诚\项目\天水农网审计\地市部分\25、182702100010高耗能淘汰型变压器更换工程\3.1.1、生技〔2010〕85号(关于天水市2010年10千伏及以下配网建设与改造项目可研审查意见的通知).wps</t>
  </si>
  <si>
    <t>E:\中瑞诚\项目\天水农网审计\地市部分\25、182702100010高耗能淘汰型变压器更换工程\3.2.1、初设批复-天供司生〔2010〕483号(关于天水市2010年10千伏及以下配网建设与改造项目初设审查意见的报告).wps</t>
  </si>
  <si>
    <t>E:\中瑞诚\项目\天水农网审计\地市部分\25、182702100010高耗能淘汰型变压器更换工程\3.3.1、发展〔2010〕94号(关于下达2010年电网基建工程第四批投资计划的通知).wps</t>
  </si>
  <si>
    <t>E:\中瑞诚\项目\天水农网审计\地市部分\26、182702100013秦州区籍河南路西部10KV双电源供电工程\3.1.1、生技〔2010〕85号(关于天水市2010年10千伏及以下配网建设与改造项目可研审查意见的通知).wps</t>
  </si>
  <si>
    <t>E:\中瑞诚\项目\天水农网审计\地市部分\26、182702100013秦州区籍河南路西部10KV双电源供电工程\3.2.1、初设批复-天供司生〔2010〕483号(关于天水市2010年10千伏及以下配网建设与改造项目初设审查意见的报告).wps</t>
  </si>
  <si>
    <t>E:\中瑞诚\项目\天水农网审计\地市部分\26、182702100013秦州区籍河南路西部10KV双电源供电工程\3.3.1、发展〔2010〕94号(关于下达2010年电网基建工程第四批投资计划的通知).wps</t>
  </si>
  <si>
    <t>E:\中瑞诚\项目\天水农网审计\地市部分\27、182702100032天水市秦州区岷山路电缆管敷设工程\3.1.1、生技〔2010〕85号(关于天水市2010年10千伏及以下配网建设与改造项目可研审查意见的通知).wps</t>
  </si>
  <si>
    <t>E:\中瑞诚\项目\天水农网审计\地市部分\27、182702100032天水市秦州区岷山路电缆管敷设工程\3.2.1、初设批复-天供司生〔2010〕483号(关于天水市2010年10千伏及以下配网建设与改造项目初设审查意见的报告).wps</t>
  </si>
  <si>
    <t>E:\中瑞诚\项目\天水农网审计\地市部分\27、182702100032天水市秦州区岷山路电缆管敷设工程\3.3.1、发展〔2010〕94号(关于下达2010年电网基建工程第四批投资计划的通知).wps</t>
  </si>
  <si>
    <t>E:\中瑞诚\项目\天水农网审计\地市部分\28、182702100014武变114线路改造工程\3.1.1、生技〔2010〕85号(关于天水市2010年10千伏及以下配网建设与改造项目可研审查意见的通知).wps</t>
  </si>
  <si>
    <t>E:\中瑞诚\项目\天水农网审计\地市部分\28、182702100014武变114线路改造工程\3.2.1、初设批复-天供司生〔2010〕483号(关于天水市2010年10千伏及以下配网建设与改造项目初设审查意见的报告).wps</t>
  </si>
  <si>
    <t>E:\中瑞诚\项目\天水农网审计\地市部分\28、182702100014武变114线路改造工程\3.3.1、发展〔2010〕94号(关于下达2010年电网基建工程第四批投资计划的通知).wps</t>
  </si>
  <si>
    <t>E:\中瑞诚\项目\天水农网审计\地市部分\29、182702100015寨变115线路改造工程\3.1.1、生技〔2010〕85号(关于天水市2010年10千伏及以下配网建设与改造项目可研审查意见的通知).wps</t>
  </si>
  <si>
    <t>E:\中瑞诚\项目\天水农网审计\地市部分\29、182702100015寨变115线路改造工程\3.2.1、初设批复-天供司生〔2010〕483号(关于天水市2010年10千伏及以下配网建设与改造项目初设审查意见的报告).wps</t>
  </si>
  <si>
    <t>E:\中瑞诚\项目\天水农网审计\地市部分\29、182702100015寨变115线路改造工程\3.3.1、发展〔2010〕94号(关于下达2010年电网基建工程第四批投资计划的通知).wps</t>
  </si>
  <si>
    <t>E:\中瑞诚\项目\天水农网审计\地市部分\2、1827020006110千伏玉泉变10千伏送出\3.1.1、2008.24号关于天水二十里铺变10kV送出等配网工程可研审查意见的通知.DOC</t>
  </si>
  <si>
    <t>E:\中瑞诚\项目\天水农网审计\地市部分\2、1827020006110千伏玉泉变10千伏送出\3.3.1、关于下达2008年第二批110千伏送变电及其配网工程投资计划的通知-发展〔2008〕29号.20080417.doc</t>
  </si>
  <si>
    <t>E:\中瑞诚\项目\天水农网审计\地市部分\30、182702100016寨变116线路改造工程\3.1.1、生技〔2010〕85号(关于天水市2010年10千伏及以下配网建设与改造项目可研审查意见的通知).wps</t>
  </si>
  <si>
    <t>E:\中瑞诚\项目\天水农网审计\地市部分\30、182702100016寨变116线路改造工程\3.2.1、初设批复-天供司生〔2010〕483号(关于天水市2010年10千伏及以下配网建设与改造项目初设审查意见的报告).wps</t>
  </si>
  <si>
    <t>E:\中瑞诚\项目\天水农网审计\地市部分\30、182702100016寨变116线路改造工程\3.3.1、发展〔2010〕94号(关于下达2010年电网基建工程第四批投资计划的通知).wps</t>
  </si>
  <si>
    <t>E:\中瑞诚\项目\天水农网审计\地市部分\31、182702110004112映南路线延伸工程\3.2.1、生技〔2011〕89号(关于下发天水2011年第一批10千伏及以下配网建设与改造工程初步设计审查意见的通知).ceb</t>
  </si>
  <si>
    <t>E:\中瑞诚\项目\天水农网审计\地市部分\32、182702110005麦积区甘泉街高低压线路改造工程\3.2.1、生技〔2011〕89号(关于下发天水2011年第一批10千伏及以下配网建设与改造工程初步设计审查意见的通知).ceb</t>
  </si>
  <si>
    <t>E:\中瑞诚\项目\天水农网审计\地市部分\33、18270211000610千伏伯阳线及其分支线改造工程\3.2.1、生技〔2011〕89号(关于下发天水2011年第一批10千伏及以下配网建设与改造工程初步设计审查意见的通知).ceb</t>
  </si>
  <si>
    <t>E:\中瑞诚\项目\天水农网审计\地市部分\34、182702110007新建玉泉变出线工程\3.2.1、生技〔2011〕89号(关于下发天水2011年第一批10千伏及以下配网建设与改造工程初步设计审查意见的通知).ceb</t>
  </si>
  <si>
    <t>E:\中瑞诚\项目\天水农网审计\地市部分\35、182702110008武变114线路分支改造工程\3.2.1、生技〔2011〕89号(关于下发天水2011年第一批10千伏及以下配网建设与改造工程初步设计审查意见的通知).ceb</t>
  </si>
  <si>
    <t>E:\中瑞诚\项目\天水农网审计\地市部分\36、182702110009冀变113改造工程\3.2.1、生技〔2011〕89号(关于下发天水2011年第一批10千伏及以下配网建设与改造工程初步设计审查意见的通知).ceb</t>
  </si>
  <si>
    <t>E:\中瑞诚\项目\天水农网审计\地市部分\37、182702110010柱上油断路器更换工程\3.2.1、生技〔2011〕89号(关于下发天水2011年第一批10千伏及以下配网建设与改造工程初步设计审查意见的通知).ceb</t>
  </si>
  <si>
    <t>E:\中瑞诚\项目\天水农网审计\地市部分\38、182702110011改造10千伏配电网及高损配变\3.2.1、生技〔2011〕89号(关于下发天水2011年第一批10千伏及以下配网建设与改造工程初步设计审查意见的通知).ceb</t>
  </si>
  <si>
    <t>E:\中瑞诚\项目\天水农网审计\地市部分\39、182702110012改造石变114窝驼、七变123南郭寺、125高家湾、126新华门线工程\3.2.1、生技〔2011〕89号(关于下发天水2011年第一批10千伏及以下配网建设与改造工程初步设计审查意见的通知).ceb</t>
  </si>
  <si>
    <t>E:\中瑞诚\项目\天水农网审计\地市部分\3、1827020017110千伏七里墩变10千伏送出\3.1.1、2008.24号关于天水二十里铺变10kV送出等配网工程可研审查意见的通知.DOC</t>
  </si>
  <si>
    <t>E:\中瑞诚\项目\天水农网审计\地市部分\3、1827020017110千伏七里墩变10千伏送出\3.2.1、初设批复-天供司生〔2010〕55号(关于《天水市2009年10千伏及以下城市电网建设项目初设审查意见》的报告).wps</t>
  </si>
  <si>
    <t>E:\中瑞诚\项目\天水农网审计\地市部分\3、1827020017110千伏七里墩变10千伏送出\3.3.1、关于下达2008年第二批110千伏送变电及其配网工程投资计划的通知-发展〔2008〕29号.20080417.doc</t>
  </si>
  <si>
    <t>E:\中瑞诚\项目\天水农网审计\地市部分\40、182702110013石变10千伏114线路改造工程\3.2.1、生技〔2011〕89号(关于下发天水2011年第一批10千伏及以下配网建设与改造工程初步设计审查意见的通知).ceb</t>
  </si>
  <si>
    <t>E:\中瑞诚\项目\天水农网审计\地市部分\41、182702110014屈家坪村10千伏高压线路改造工程\3.2.1、生技〔2011〕89号(关于下发天水2011年第一批10千伏及以下配网建设与改造工程初步设计审查意见的通知).ceb</t>
  </si>
  <si>
    <t>E:\中瑞诚\项目\天水农网审计\地市部分\42、182702110015北变120云雾分支10千伏线路改造工程\3.2.1、生技〔2011〕89号(关于下发天水2011年第一批10千伏及以下配网建设与改造工程初步设计审查意见的通知).ceb</t>
  </si>
  <si>
    <t>E:\中瑞诚\项目\天水农网审计\地市部分\43、182702110016东泉村高低压线路改造工程\3.2.1、生技〔2011〕89号(关于下发天水2011年第一批10千伏及以下配网建设与改造工程初步设计审查意见的通知).ceb</t>
  </si>
  <si>
    <t>E:\中瑞诚\项目\天水农网审计\地市部分\44、182702120002星火变10千伏星七线一杆2回线路工程\3.1.1、生技〔2011〕157号(关于下发天水2012年第一批10千伏及以下配网建设与改造项目可研审查意见的通知).ceb</t>
  </si>
  <si>
    <t>E:\中瑞诚\项目\天水农网审计\地市部分\45、182702120003星火变10千伏星五线一杆2回线路工程\3.1.1、生技〔2011〕157号(关于下发天水2012年第一批10千伏及以下配网建设与改造项目可研审查意见的通知).ceb</t>
  </si>
  <si>
    <t>E:\中瑞诚\项目\天水农网审计\地市部分\46、182702120007武变117南滨河路新建线路工程\3.1.1、生技〔2011〕157号(关于下发天水2012年第一批10千伏及以下配网建设与改造项目可研审查意见的通知).ceb</t>
  </si>
  <si>
    <t>E:\中瑞诚\项目\天水农网审计\地市部分\4、1827020020石马坪调度楼配电系统改造工程\3.1.1、可研批复-关于天水市2009年10千伏及以下城市电网建设项目可研审查意见的通知生技〔2009〕144号.wps</t>
  </si>
  <si>
    <t>E:\中瑞诚\项目\天水农网审计\地市部分\4、1827020020石马坪调度楼配电系统改造工程\3.2.1、初设批复-天供司生〔2010〕55号(关于《天水市2009年10千伏及以下城市电网建设项目初设审查意见》的报告).wps</t>
  </si>
  <si>
    <t>E:\中瑞诚\项目\天水农网审计\地市部分\4、1827020020石马坪调度楼配电系统改造工程\3.3.1、投资计划-发展〔2009〕140号.关于下达35千伏及以下电网基建和通信信息化工程调整投资计划的通知.1026.wps</t>
  </si>
  <si>
    <t>E:\中瑞诚\项目\天水农网审计\地市部分\5、1827020019三十里铺高低压柜改造工程\3.1.1、可研批复-关于天水市2009年10千伏及以下城市电网建设项目可研审查意见的通知生技〔2009〕144号.wps</t>
  </si>
  <si>
    <t>E:\中瑞诚\项目\天水农网审计\地市部分\5、1827020019三十里铺高低压柜改造工程\3.2.1、初设批复-天供司生〔2010〕55号(关于《天水市2009年10千伏及以下城市电网建设项目初设审查意见》的报告).wps</t>
  </si>
  <si>
    <t>E:\中瑞诚\项目\天水农网审计\地市部分\5、1827020019三十里铺高低压柜改造工程\3.3.1、投资计划-发展〔2009〕140号.关于下达35千伏及以下电网基建和通信信息化工程调整投资计划的通知.1026.wps</t>
  </si>
  <si>
    <t>E:\中瑞诚\项目\天水农网审计\地市部分\6、1827020018麦积办公区高压柜改造工程\3.1.1、可研批复-关于天水市2009年10千伏及以下城市电网建设项目可研审查意见的通知生技〔2009〕144号.wps</t>
  </si>
  <si>
    <t>E:\中瑞诚\项目\天水农网审计\地市部分\6、1827020018麦积办公区高压柜改造工程\3.2.1、初设批复-天供司生〔2010〕55号(关于《天水市2009年10千伏及以下城市电网建设项目初设审查意见》的报告).wps</t>
  </si>
  <si>
    <t>E:\中瑞诚\项目\天水农网审计\地市部分\6、1827020018麦积办公区高压柜改造工程\3.3.1、投资计划-发展〔2009〕140号.关于下达35千伏及以下电网基建和通信信息化工程调整投资计划的通知.1026.wps</t>
  </si>
  <si>
    <t>E:\中瑞诚\项目\天水农网审计\地市部分\7、1827020002水厂双电源线路工程\3.1.1、可研批复-关于天水市2009年10千伏及以下城市电网建设项目可研审查意见的通知生技〔2009〕144号.wps</t>
  </si>
  <si>
    <t>E:\中瑞诚\项目\天水农网审计\地市部分\7、1827020002水厂双电源线路工程\3.2.1、初设批复-天供司生〔2010〕55号(关于《天水市2009年10千伏及以下城市电网建设项目初设审查意见》的报告).wps</t>
  </si>
  <si>
    <t>E:\中瑞诚\项目\天水农网审计\地市部分\7、1827020002水厂双电源线路工程\3.3.1、投资计划-发展〔2009〕140号.关于下达35千伏及以下电网基建和通信信息化工程调整投资计划的通知.1026.wps</t>
  </si>
  <si>
    <t>E:\中瑞诚\项目\天水农网审计\地市部分\8、1827020003秦安县人民政府综合办公楼线路工程\3.1.1、可研批复-关于天水市2009年10千伏及以下城市电网建设项目可研审查意见的通知生技〔2009〕144号.wps</t>
  </si>
  <si>
    <t>E:\中瑞诚\项目\天水农网审计\地市部分\8、1827020003秦安县人民政府综合办公楼线路工程\3.2.1、初设批复-天供司生〔2010〕55号(关于《天水市2009年10千伏及以下城市电网建设项目初设审查意见》的报告).wps</t>
  </si>
  <si>
    <t>E:\中瑞诚\项目\天水农网审计\地市部分\8、1827020003秦安县人民政府综合办公楼线路工程\3.3.1、投资计划-发展〔2009〕140号.关于下达35千伏及以下电网基建和通信信息化工程调整投资计划的通知.1026.wps</t>
  </si>
  <si>
    <t>E:\中瑞诚\项目\天水农网审计\地市部分\9、1827020004天水市市委备用电源改造工程\3.1.1、可研批复-关于天水市2009年10千伏及以下城市电网建设项目可研审查意见的通知生技〔2009〕144号.wps</t>
  </si>
  <si>
    <t>E:\中瑞诚\项目\天水农网审计\地市部分\9、1827020004天水市市委备用电源改造工程\3.2.1、初设批复-天供司生〔2010〕55号(关于《天水市2009年10千伏及以下城市电网建设项目初设审查意见》的报告).wps</t>
  </si>
  <si>
    <t>E:\中瑞诚\项目\天水农网审计\地市部分\9、1827020004天水市市委备用电源改造工程\3.3.1、投资计划-发展〔2009〕140号.关于下达35千伏及以下电网基建和通信信息化工程调整投资计划的通知.1026.wps</t>
  </si>
  <si>
    <t>E:\中瑞诚\项目\天水农网审计\地市部分\10、1827020005天水市中医院备用电源改造工程\3.2.1、初设批复-天供司生〔2010〕55号(关于《天水市2009年10千伏及以下城市电网建设项目初设审查意见》的报告).wps</t>
    <phoneticPr fontId="4" type="noConversion"/>
  </si>
  <si>
    <t>3.2.1、天水供电公司《关于天水市2009年10千伏及以下城市电网建设项目初设审查意见的报告》(天供司生〔2010〕55号).wps</t>
  </si>
  <si>
    <t>3.3.1、甘肃省电力公司《关于下达35千伏及以下电网基建和通信信息化工程调整投资计划的通知》(发展〔2009〕140号).wps</t>
  </si>
  <si>
    <t>3.1.1、甘肃省电力公司《关于天水市2009年10千伏及以下城市电网建设项目可研审查意见的通知》(生技〔2009〕144号).wps</t>
  </si>
  <si>
    <t>3.1.1、甘肃省电力公司《关于天水二十里铺变10kV送出等配网工程可研审查意见的通知》(发展〔2008〕24号).DOC</t>
  </si>
  <si>
    <t>3.3.1、甘肃省电力公司《关于下达2008年第二批110千伏送变电及其配网工程投资计划的通知》(发展〔2008〕29号).doc</t>
  </si>
  <si>
    <t>3.1.1、甘肃省电力公司《关于天水市2010年10千伏及以下配网建设与改造项目可研审查意见的通知》(生技〔2010〕85号).wps</t>
  </si>
  <si>
    <t>3.2.1、天水供电公司《关于天水市2010年10千伏及以下配网建设与改造项目初设审查意见的报告》(天供司生〔2010〕483号).wps</t>
  </si>
  <si>
    <t>3.3.1、甘肃省电力公司《关于下达2010年电网基建工程第四批投资计划的通知》(发展〔2010〕94号).wps</t>
  </si>
  <si>
    <t>3.2.1、甘肃省电力公司《关于下发天水2011年第一批10千伏及以下配网建设与改造工程初步设计审查意见的通知》(生技〔2011〕89号).ceb</t>
  </si>
  <si>
    <t>3.1.1、甘肃省电力公司《关于下发天水2012年第一批10千伏及以下配网建设与改造项目可研审查意见的通知》(生技〔2011〕157号).ceb</t>
  </si>
  <si>
    <t>复制文件</t>
    <phoneticPr fontId="4" type="noConversion"/>
  </si>
  <si>
    <t>新文件名（全路径）</t>
    <phoneticPr fontId="4" type="noConversion"/>
  </si>
  <si>
    <t>复制文件</t>
    <phoneticPr fontId="1" type="noConversion"/>
  </si>
  <si>
    <t>复制一文件到另一位置并可重命名</t>
    <phoneticPr fontId="1" type="noConversion"/>
  </si>
  <si>
    <t>110千伏七里墩变10千伏送出</t>
    <phoneticPr fontId="20" type="noConversion"/>
  </si>
  <si>
    <t>E:\我的文件\Desktop\新建文件夹\5、110千伏二十里铺变10千伏送出工程竣工决算报告.xls</t>
  </si>
  <si>
    <t>E:\中瑞诚\项目\天水农网审计\地市部分\2、1827020006110千伏玉泉变10千伏送出\x5、110千伏玉泉变10千伏送出工程竣工决算报告.xls</t>
  </si>
  <si>
    <t>E:\中瑞诚\项目\天水农网审计\地市部分\3、1827020017110千伏七里墩变10千伏送出\x5、110千伏七里墩变10千伏送出工程竣工决算报告.xls</t>
  </si>
  <si>
    <t>E:\中瑞诚\项目\天水农网审计\地市部分\38、182702110011改造10千伏配电网及高损配变\x5、改造10千伏配电网及高损配变工程竣工决算报告.xls</t>
  </si>
  <si>
    <t>E:\中瑞诚\项目\天水农网审计\地市部分\10、1827020005天水市中医院备用电源改造工程\x5、天水市中医院备用电源改造工程竣工决算报告.xls</t>
  </si>
  <si>
    <t>E:\中瑞诚\项目\天水农网审计\地市部分\11、18270200072009年配网柱上油开关更换工程\x5、2009年配网柱上油开关更换工程竣工决算报告.xls</t>
  </si>
  <si>
    <t>E:\中瑞诚\项目\天水农网审计\地市部分\12、18270200082009年高耗能淘汰型变压器更换工程\x5、2009年高耗能淘汰型变压器更换工程竣工决算报告.xls</t>
  </si>
  <si>
    <t>E:\中瑞诚\项目\天水农网审计\地市部分\13、1827021000062009年瀛池路跨越路面土建工程\x5、2009年瀛池路跨越路面土建工程竣工决算报告.xls</t>
  </si>
  <si>
    <t>E:\中瑞诚\项目\天水农网审计\地市部分\14、1827020010北变120线路改造工程\x5、北变120线路改造工程竣工决算报告.xls</t>
  </si>
  <si>
    <t>E:\中瑞诚\项目\天水农网审计\地市部分\15、1827020011秦西纬三路石变114改线工程\x5、秦西纬三路石变114改线工程竣工决算报告.xls</t>
  </si>
  <si>
    <t>E:\中瑞诚\项目\天水农网审计\地市部分\17、1827020013秦安县城兴国变121解放路后段线路改造工程\x5、秦安县城兴国变121解放路后段线路改造工程竣工决算报告.xls</t>
  </si>
  <si>
    <t>E:\中瑞诚\项目\天水农网审计\地市部分\18、1827020014兴变112、113滨河路10千伏线路工程\x5、兴变112、113滨河路10千伏线路工程竣工决算报告.xls</t>
  </si>
  <si>
    <t>E:\中瑞诚\项目\天水农网审计\地市部分\19、1827020015武变117线路工程\x5、武变117线路工程竣工决算报告.xls</t>
  </si>
  <si>
    <t>E:\中瑞诚\项目\天水农网审计\地市部分\20、1827020016社变114社堂街分支高低压线路改造工程\x5、社变114社堂街分支高低压线路改造工程竣工决算报告.xls</t>
  </si>
  <si>
    <t>E:\中瑞诚\项目\天水农网审计\地市部分\21、182702100019百万以上业扩工程\x5、百万以上业扩工程竣工决算报告.xls</t>
  </si>
  <si>
    <t>E:\中瑞诚\项目\天水农网审计\地市部分\22、1727020001内外网隔离系统工程\x5、内外网隔离系统工程竣工决算报告.xls</t>
  </si>
  <si>
    <t>E:\中瑞诚\项目\天水农网审计\地市部分\23、182702100012瀛池路10千伏线路工程\x5、瀛池路10千伏线路工程竣工决算报告.xls</t>
  </si>
  <si>
    <t>E:\中瑞诚\项目\天水农网审计\地市部分\24、182702100011配网柱上油开关更换工程\x5、配网柱上油开关更换工程竣工决算报告.xls</t>
  </si>
  <si>
    <t>E:\中瑞诚\项目\天水农网审计\地市部分\25、182702100010高耗能淘汰型变压器更换工程\x5、高耗能淘汰型变压器更换工程竣工决算报告.xls</t>
  </si>
  <si>
    <t>E:\中瑞诚\项目\天水农网审计\地市部分\26、182702100013秦州区籍河南路西部10KV双电源供电工程\x5、秦州区籍河南路西部10KV双电源供电工程竣工决算报告.xls</t>
  </si>
  <si>
    <t>E:\中瑞诚\项目\天水农网审计\地市部分\27、182702100032天水市秦州区岷山路电缆管敷设工程\x5、天水市秦州区岷山路电缆管敷设工程竣工决算报告.xls</t>
  </si>
  <si>
    <t>E:\中瑞诚\项目\天水农网审计\地市部分\28、182702100014武变114线路改造工程\x5、武变114线路改造工程竣工决算报告.xls</t>
  </si>
  <si>
    <t>E:\中瑞诚\项目\天水农网审计\地市部分\29、182702100015寨变115线路改造工程\x5、寨变115线路改造工程竣工决算报告.xls</t>
  </si>
  <si>
    <t>E:\中瑞诚\项目\天水农网审计\地市部分\30、182702100016寨变116线路改造工程\x5、寨变116线路改造工程竣工决算报告.xls</t>
  </si>
  <si>
    <t>E:\中瑞诚\项目\天水农网审计\地市部分\31、182702110004112映南路线延伸工程\x5、112映南路线延伸工程竣工决算报告.xls</t>
  </si>
  <si>
    <t>E:\中瑞诚\项目\天水农网审计\地市部分\32、182702110005麦积区甘泉街高低压线路改造工程\x5、麦积区甘泉街高低压线路改造工程竣工决算报告.xls</t>
  </si>
  <si>
    <t>E:\中瑞诚\项目\天水农网审计\地市部分\33、18270211000610千伏伯阳线及其分支线改造工程\x5、10千伏伯阳线及其分支线改造工程竣工决算报告.xls</t>
  </si>
  <si>
    <t>E:\中瑞诚\项目\天水农网审计\地市部分\34、182702110007新建玉泉变出线工程\x5、新建玉泉变出线工程竣工决算报告.xls</t>
  </si>
  <si>
    <t>E:\中瑞诚\项目\天水农网审计\地市部分\35、182702110008武变114线路分支改造工程\x5、武变114线路分支改造工程竣工决算报告.xls</t>
  </si>
  <si>
    <t>E:\中瑞诚\项目\天水农网审计\地市部分\36、182702110009冀变113改造工程\x5、冀变113改造工程竣工决算报告.xls</t>
  </si>
  <si>
    <t>E:\中瑞诚\项目\天水农网审计\地市部分\37、182702110010柱上油断路器更换工程\x5、柱上油断路器更换工程竣工决算报告.xls</t>
  </si>
  <si>
    <t>E:\中瑞诚\项目\天水农网审计\地市部分\39、182702110012改造石变114窝驼、七变123南郭寺、125高家湾、126新华门线工程\x5、改造石变114窝驼、七变123南郭寺、125高家湾、126新华门线工程竣工决算报告.xls</t>
  </si>
  <si>
    <t>E:\中瑞诚\项目\天水农网审计\地市部分\4、1827020020石马坪调度楼配电系统改造工程\x5、石马坪调度楼配电系统改造工程竣工决算报告.xls</t>
  </si>
  <si>
    <t>E:\中瑞诚\项目\天水农网审计\地市部分\40、182702110013石变10千伏114线路改造工程\x5、石变10千伏114线路改造工程竣工决算报告.xls</t>
  </si>
  <si>
    <t>E:\中瑞诚\项目\天水农网审计\地市部分\41、182702110014屈家坪村10千伏高压线路改造工程\x5、屈家坪村10千伏高压线路改造工程竣工决算报告.xls</t>
  </si>
  <si>
    <t>E:\中瑞诚\项目\天水农网审计\地市部分\42、182702110015北变120云雾分支10千伏线路改造工程\x5、北变120云雾分支10千伏线路改造工程竣工决算报告.xls</t>
  </si>
  <si>
    <t>E:\中瑞诚\项目\天水农网审计\地市部分\43、182702110016东泉村高低压线路改造工程\x5、东泉村高低压线路改造工程竣工决算报告.xls</t>
  </si>
  <si>
    <t>E:\中瑞诚\项目\天水农网审计\地市部分\44、182702120002星火变10千伏星七线一杆2回线路工程\x5、星火变10千伏星七线一杆2回线路工程竣工决算报告.xls</t>
  </si>
  <si>
    <t>E:\中瑞诚\项目\天水农网审计\地市部分\45、182702120003星火变10千伏星五线一杆2回线路工程\x5、星火变10千伏星五线一杆2回线路工程竣工决算报告.xls</t>
  </si>
  <si>
    <t>E:\中瑞诚\项目\天水农网审计\地市部分\46、182702120007武变117南滨河路新建线路工程\x5、武变117南滨河路新建线路工程竣工决算报告.xls</t>
  </si>
  <si>
    <t>E:\中瑞诚\项目\天水农网审计\地市部分\5、1827020019三十里铺高低压柜改造工程\x5、三十里铺高低压柜改造工程竣工决算报告.xls</t>
  </si>
  <si>
    <t>E:\中瑞诚\项目\天水农网审计\地市部分\6、1827020018麦积办公区高压柜改造工程\x5、麦积办公区高压柜改造工程竣工决算报告.xls</t>
  </si>
  <si>
    <t>E:\中瑞诚\项目\天水农网审计\地市部分\7、1827020002水厂双电源线路工程\x5、水厂双电源线路工程竣工决算报告.xls</t>
  </si>
  <si>
    <t>E:\中瑞诚\项目\天水农网审计\地市部分\8、1827020003秦安县人民政府综合办公楼线路工程\x5、秦安县人民政府综合办公楼线路工程竣工决算报告.xls</t>
  </si>
  <si>
    <t>E:\中瑞诚\项目\天水农网审计\地市部分\9、1827020004天水市市委备用电源改造工程\x5、天水市市委备用电源改造工程竣工决算报告.xls</t>
  </si>
  <si>
    <t>E:\中瑞诚\项目\天水农网审计\地市部分\16、1827020012甘谷县滨河南路线路工程\x5、甘谷县滨河南路线路工程竣工决算报告.xls</t>
  </si>
  <si>
    <t>　凭证日期</t>
  </si>
  <si>
    <t>　凭证编号</t>
  </si>
  <si>
    <t>ID</t>
    <phoneticPr fontId="4" type="noConversion"/>
  </si>
  <si>
    <t>2014-07-03</t>
  </si>
  <si>
    <t>收款       1</t>
  </si>
  <si>
    <t>2014-07-23</t>
  </si>
  <si>
    <t>收款       5</t>
  </si>
  <si>
    <t>2014-07-29</t>
  </si>
  <si>
    <t>收款      11</t>
  </si>
  <si>
    <t>2014-11-28</t>
  </si>
  <si>
    <t>收款      14</t>
  </si>
  <si>
    <t>(YEAR(A12)*100+MONTH(A12))*100000+IF(LEFT(B12,1)="收",1,IF(LEFT(B12,1)="付",2,3))*10000+t_findint(B12)</t>
    <phoneticPr fontId="1" type="noConversion"/>
  </si>
  <si>
    <t>凭证ID生成</t>
    <phoneticPr fontId="1" type="noConversion"/>
  </si>
  <si>
    <t>补充医疗保险</t>
  </si>
  <si>
    <t>工伤保险</t>
  </si>
  <si>
    <t>基本养老保</t>
  </si>
  <si>
    <t>基本医疗保险</t>
  </si>
  <si>
    <t>企业年金</t>
  </si>
  <si>
    <t>设定提存计划离</t>
  </si>
  <si>
    <t>生育保险</t>
  </si>
  <si>
    <t>失业保险</t>
  </si>
  <si>
    <t>住房公积金</t>
  </si>
  <si>
    <t>2 基本医疗保险</t>
  </si>
  <si>
    <t>3 补充医疗保险</t>
  </si>
  <si>
    <t>4 生育保险</t>
  </si>
  <si>
    <t>5 失业保险</t>
  </si>
  <si>
    <t>6 工伤保险</t>
  </si>
  <si>
    <t>7 住房公积金</t>
  </si>
  <si>
    <t>8 企业年金</t>
  </si>
  <si>
    <t>9 设定提存计划离</t>
  </si>
  <si>
    <t>1 基本养老保险</t>
  </si>
  <si>
    <t>工作簿</t>
    <phoneticPr fontId="4" type="noConversion"/>
  </si>
  <si>
    <t>小表</t>
    <phoneticPr fontId="4" type="noConversion"/>
  </si>
  <si>
    <t>单元格</t>
    <phoneticPr fontId="4" type="noConversion"/>
  </si>
  <si>
    <t>值</t>
    <phoneticPr fontId="4" type="noConversion"/>
  </si>
  <si>
    <t>1,837,800.00</t>
  </si>
  <si>
    <t>[2011年1月—12月基站电费清单(蓝田）.xls</t>
  </si>
  <si>
    <t>加载项.xlam</t>
  </si>
  <si>
    <t>C:\Users\Administrator\Desktop\配网盘点\10KV线路盘点表-西咸移交--电缆运检室.xls</t>
  </si>
  <si>
    <t>C:\Users\Administrator\Desktop\配网盘点\10KV线路盘点表-西咸移交--户县.xls</t>
  </si>
  <si>
    <t>C:\Users\Administrator\Desktop\配网盘点\10KV线路盘点表-西咸移交--配电运检室.xls</t>
  </si>
  <si>
    <t>C:\Users\Administrator\Desktop\配网盘点\10KV线路盘点表-西咸移交--长安.xls</t>
  </si>
  <si>
    <t>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</si>
</sst>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.00_);_(* \(#,##0.00\);_(* &quot;-&quot;??_);_(@_)"/>
    <numFmt numFmtId="177" formatCode="0_);[Red]\(0\)"/>
    <numFmt numFmtId="178" formatCode="0.00_);[Red]\(0.00\)"/>
    <numFmt numFmtId="179" formatCode="#,##0.00_ "/>
  </numFmts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u/>
      <sz val="11"/>
      <color theme="1"/>
      <name val="宋体"/>
      <family val="2"/>
      <charset val="134"/>
      <scheme val="minor"/>
    </font>
    <font>
      <sz val="10"/>
      <name val="Times New Roman"/>
      <family val="1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12"/>
      <color indexed="8"/>
      <name val="Times New Roman"/>
      <family val="1"/>
    </font>
    <font>
      <sz val="18"/>
      <color theme="3"/>
      <name val="宋体"/>
      <family val="2"/>
      <charset val="134"/>
      <scheme val="major"/>
    </font>
    <font>
      <sz val="10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0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176" fontId="10" fillId="0" borderId="0" applyFont="0" applyFill="0" applyBorder="0" applyAlignment="0" applyProtection="0">
      <alignment vertical="center"/>
    </xf>
    <xf numFmtId="0" fontId="5" fillId="0" borderId="0"/>
    <xf numFmtId="0" fontId="3" fillId="0" borderId="0"/>
    <xf numFmtId="176" fontId="5" fillId="0" borderId="0" applyFont="0" applyFill="0" applyBorder="0" applyAlignment="0" applyProtection="0">
      <alignment vertical="center"/>
    </xf>
    <xf numFmtId="0" fontId="6" fillId="0" borderId="0"/>
    <xf numFmtId="0" fontId="5" fillId="0" borderId="0"/>
    <xf numFmtId="0" fontId="6" fillId="0" borderId="0"/>
    <xf numFmtId="0" fontId="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/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6" fillId="0" borderId="0"/>
    <xf numFmtId="0" fontId="7" fillId="0" borderId="0">
      <alignment vertical="center"/>
    </xf>
    <xf numFmtId="0" fontId="7" fillId="0" borderId="0"/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176" fontId="1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0" borderId="0"/>
  </cellStyleXfs>
  <cellXfs count="8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7" fillId="0" borderId="0" xfId="2">
      <alignment vertical="center"/>
    </xf>
    <xf numFmtId="0" fontId="8" fillId="0" borderId="0" xfId="2" applyFont="1">
      <alignment vertical="center"/>
    </xf>
    <xf numFmtId="49" fontId="0" fillId="0" borderId="0" xfId="0" applyNumberFormat="1">
      <alignment vertical="center"/>
    </xf>
    <xf numFmtId="177" fontId="9" fillId="3" borderId="1" xfId="2" applyNumberFormat="1" applyFont="1" applyFill="1" applyBorder="1" applyAlignment="1">
      <alignment horizontal="center" vertical="center"/>
    </xf>
    <xf numFmtId="177" fontId="9" fillId="3" borderId="1" xfId="2" applyNumberFormat="1" applyFont="1" applyFill="1" applyBorder="1" applyAlignment="1">
      <alignment vertical="center"/>
    </xf>
    <xf numFmtId="0" fontId="0" fillId="0" borderId="2" xfId="0" applyBorder="1">
      <alignment vertical="center"/>
    </xf>
    <xf numFmtId="0" fontId="11" fillId="0" borderId="0" xfId="0" applyFont="1">
      <alignment vertical="center"/>
    </xf>
    <xf numFmtId="176" fontId="12" fillId="0" borderId="0" xfId="3" applyFont="1">
      <alignment vertical="center"/>
    </xf>
    <xf numFmtId="0" fontId="0" fillId="2" borderId="0" xfId="0" applyFill="1" applyAlignme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6" xfId="0" quotePrefix="1" applyBorder="1">
      <alignment vertical="center"/>
    </xf>
    <xf numFmtId="0" fontId="0" fillId="0" borderId="0" xfId="0">
      <alignment vertical="center"/>
    </xf>
    <xf numFmtId="176" fontId="0" fillId="0" borderId="0" xfId="3" applyFont="1">
      <alignment vertical="center"/>
    </xf>
    <xf numFmtId="0" fontId="0" fillId="0" borderId="0" xfId="0">
      <alignment vertical="center"/>
    </xf>
    <xf numFmtId="0" fontId="0" fillId="0" borderId="8" xfId="0" applyFill="1" applyBorder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0" borderId="2" xfId="2" applyNumberFormat="1" applyFont="1" applyBorder="1" applyAlignment="1">
      <alignment horizontal="center" shrinkToFit="1"/>
    </xf>
    <xf numFmtId="177" fontId="13" fillId="0" borderId="2" xfId="2" applyNumberFormat="1" applyFont="1" applyBorder="1" applyAlignment="1">
      <alignment horizontal="center" shrinkToFit="1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2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14" fillId="0" borderId="2" xfId="2" applyFont="1" applyFill="1" applyBorder="1" applyAlignment="1">
      <alignment horizontal="left" vertical="center" wrapText="1"/>
    </xf>
    <xf numFmtId="0" fontId="0" fillId="0" borderId="2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8" fillId="0" borderId="0" xfId="28">
      <alignment vertical="center"/>
    </xf>
    <xf numFmtId="0" fontId="0" fillId="0" borderId="0" xfId="0">
      <alignment vertical="center"/>
    </xf>
    <xf numFmtId="178" fontId="4" fillId="0" borderId="2" xfId="5" applyNumberFormat="1" applyFont="1" applyFill="1" applyBorder="1" applyAlignment="1">
      <alignment horizontal="left" vertical="center" wrapText="1"/>
    </xf>
    <xf numFmtId="0" fontId="19" fillId="5" borderId="0" xfId="2" applyFont="1" applyFill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9" fontId="3" fillId="0" borderId="2" xfId="29" applyNumberFormat="1" applyFont="1" applyFill="1" applyBorder="1" applyAlignment="1">
      <alignment horizontal="left"/>
    </xf>
    <xf numFmtId="179" fontId="3" fillId="0" borderId="2" xfId="0" applyNumberFormat="1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0" xfId="0" applyFill="1" applyBorder="1">
      <alignment vertical="center"/>
    </xf>
    <xf numFmtId="176" fontId="7" fillId="0" borderId="0" xfId="20" applyFont="1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176" fontId="9" fillId="2" borderId="2" xfId="20" applyFont="1" applyFill="1" applyBorder="1" applyAlignment="1" applyProtection="1">
      <alignment horizontal="right" vertical="center"/>
      <protection locked="0"/>
    </xf>
    <xf numFmtId="176" fontId="0" fillId="0" borderId="0" xfId="0" applyNumberFormat="1">
      <alignment vertical="center"/>
    </xf>
    <xf numFmtId="4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1" fillId="0" borderId="10" xfId="0" applyFont="1" applyBorder="1" applyAlignment="1"/>
    <xf numFmtId="0" fontId="21" fillId="0" borderId="11" xfId="0" applyFont="1" applyBorder="1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>
      <alignment vertical="center"/>
    </xf>
  </cellXfs>
  <cellStyles count="30">
    <cellStyle name="_ET_STYLE_NoName_00_" xfId="7"/>
    <cellStyle name="Normal_Data conversion field mapping 0512 v4" xfId="1"/>
    <cellStyle name="百分比 2" xfId="12"/>
    <cellStyle name="百分比 2 2" xfId="19"/>
    <cellStyle name="百分比 3" xfId="22"/>
    <cellStyle name="百分比 4" xfId="26"/>
    <cellStyle name="常规" xfId="0" builtinId="0"/>
    <cellStyle name="常规 100" xfId="4"/>
    <cellStyle name="常规 2" xfId="2"/>
    <cellStyle name="常规 2 2" xfId="8"/>
    <cellStyle name="常规 2 2 2" xfId="23"/>
    <cellStyle name="常规 2 3" xfId="13"/>
    <cellStyle name="常规 2 4" xfId="18"/>
    <cellStyle name="常规 3" xfId="5"/>
    <cellStyle name="常规 3 2" xfId="14"/>
    <cellStyle name="常规 3 2 2" xfId="24"/>
    <cellStyle name="常规 3 3" xfId="17"/>
    <cellStyle name="常规 4" xfId="11"/>
    <cellStyle name="常规 4 2" xfId="10"/>
    <cellStyle name="常规 5" xfId="21"/>
    <cellStyle name="常规_2010内部购进在建工程抵消明细（合并）_1" xfId="29"/>
    <cellStyle name="超链接" xfId="28" builtinId="8"/>
    <cellStyle name="千位分隔" xfId="3" builtinId="3"/>
    <cellStyle name="千位分隔 2" xfId="15"/>
    <cellStyle name="千位分隔 2 2" xfId="20"/>
    <cellStyle name="千位分隔 3" xfId="25"/>
    <cellStyle name="千位分隔 4" xfId="6"/>
    <cellStyle name="千位分隔 4 2" xfId="27"/>
    <cellStyle name="样式 1" xfId="9"/>
    <cellStyle name="样式 1 2" xfId="16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152;&#36733;&#39033;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_cf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2"/>
  <sheetViews>
    <sheetView tabSelected="1" topLeftCell="B1" workbookViewId="0">
      <selection activeCell="E7" sqref="E7"/>
    </sheetView>
  </sheetViews>
  <sheetFormatPr defaultRowHeight="13.5" x14ac:dyDescent="0.15"/>
  <cols>
    <col min="1" max="1" width="85.75" style="2" bestFit="1" customWidth="1"/>
    <col min="2" max="2" width="29.375" style="2" customWidth="1"/>
    <col min="3" max="3" width="42.125" style="2" customWidth="1"/>
    <col min="4" max="4" width="21.375" style="2" bestFit="1" customWidth="1"/>
    <col min="5" max="5" width="13" style="2" bestFit="1" customWidth="1"/>
    <col min="6" max="249" width="9" style="2"/>
    <col min="250" max="250" width="53" style="2" customWidth="1"/>
    <col min="251" max="251" width="22.75" style="2" bestFit="1" customWidth="1"/>
    <col min="252" max="252" width="25.875" style="2" customWidth="1"/>
    <col min="253" max="253" width="10.875" style="2" customWidth="1"/>
    <col min="254" max="254" width="10.875" style="2" bestFit="1" customWidth="1"/>
    <col min="255" max="256" width="22.625" style="2" customWidth="1"/>
    <col min="257" max="257" width="33.375" style="2" bestFit="1" customWidth="1"/>
    <col min="258" max="258" width="68.375" style="2" bestFit="1" customWidth="1"/>
    <col min="259" max="505" width="9" style="2"/>
    <col min="506" max="506" width="53" style="2" customWidth="1"/>
    <col min="507" max="507" width="22.75" style="2" bestFit="1" customWidth="1"/>
    <col min="508" max="508" width="25.875" style="2" customWidth="1"/>
    <col min="509" max="509" width="10.875" style="2" customWidth="1"/>
    <col min="510" max="510" width="10.875" style="2" bestFit="1" customWidth="1"/>
    <col min="511" max="512" width="22.625" style="2" customWidth="1"/>
    <col min="513" max="513" width="33.375" style="2" bestFit="1" customWidth="1"/>
    <col min="514" max="514" width="68.375" style="2" bestFit="1" customWidth="1"/>
    <col min="515" max="761" width="9" style="2"/>
    <col min="762" max="762" width="53" style="2" customWidth="1"/>
    <col min="763" max="763" width="22.75" style="2" bestFit="1" customWidth="1"/>
    <col min="764" max="764" width="25.875" style="2" customWidth="1"/>
    <col min="765" max="765" width="10.875" style="2" customWidth="1"/>
    <col min="766" max="766" width="10.875" style="2" bestFit="1" customWidth="1"/>
    <col min="767" max="768" width="22.625" style="2" customWidth="1"/>
    <col min="769" max="769" width="33.375" style="2" bestFit="1" customWidth="1"/>
    <col min="770" max="770" width="68.375" style="2" bestFit="1" customWidth="1"/>
    <col min="771" max="1017" width="9" style="2"/>
    <col min="1018" max="1018" width="53" style="2" customWidth="1"/>
    <col min="1019" max="1019" width="22.75" style="2" bestFit="1" customWidth="1"/>
    <col min="1020" max="1020" width="25.875" style="2" customWidth="1"/>
    <col min="1021" max="1021" width="10.875" style="2" customWidth="1"/>
    <col min="1022" max="1022" width="10.875" style="2" bestFit="1" customWidth="1"/>
    <col min="1023" max="1024" width="22.625" style="2" customWidth="1"/>
    <col min="1025" max="1025" width="33.375" style="2" bestFit="1" customWidth="1"/>
    <col min="1026" max="1026" width="68.375" style="2" bestFit="1" customWidth="1"/>
    <col min="1027" max="1273" width="9" style="2"/>
    <col min="1274" max="1274" width="53" style="2" customWidth="1"/>
    <col min="1275" max="1275" width="22.75" style="2" bestFit="1" customWidth="1"/>
    <col min="1276" max="1276" width="25.875" style="2" customWidth="1"/>
    <col min="1277" max="1277" width="10.875" style="2" customWidth="1"/>
    <col min="1278" max="1278" width="10.875" style="2" bestFit="1" customWidth="1"/>
    <col min="1279" max="1280" width="22.625" style="2" customWidth="1"/>
    <col min="1281" max="1281" width="33.375" style="2" bestFit="1" customWidth="1"/>
    <col min="1282" max="1282" width="68.375" style="2" bestFit="1" customWidth="1"/>
    <col min="1283" max="1529" width="9" style="2"/>
    <col min="1530" max="1530" width="53" style="2" customWidth="1"/>
    <col min="1531" max="1531" width="22.75" style="2" bestFit="1" customWidth="1"/>
    <col min="1532" max="1532" width="25.875" style="2" customWidth="1"/>
    <col min="1533" max="1533" width="10.875" style="2" customWidth="1"/>
    <col min="1534" max="1534" width="10.875" style="2" bestFit="1" customWidth="1"/>
    <col min="1535" max="1536" width="22.625" style="2" customWidth="1"/>
    <col min="1537" max="1537" width="33.375" style="2" bestFit="1" customWidth="1"/>
    <col min="1538" max="1538" width="68.375" style="2" bestFit="1" customWidth="1"/>
    <col min="1539" max="1785" width="9" style="2"/>
    <col min="1786" max="1786" width="53" style="2" customWidth="1"/>
    <col min="1787" max="1787" width="22.75" style="2" bestFit="1" customWidth="1"/>
    <col min="1788" max="1788" width="25.875" style="2" customWidth="1"/>
    <col min="1789" max="1789" width="10.875" style="2" customWidth="1"/>
    <col min="1790" max="1790" width="10.875" style="2" bestFit="1" customWidth="1"/>
    <col min="1791" max="1792" width="22.625" style="2" customWidth="1"/>
    <col min="1793" max="1793" width="33.375" style="2" bestFit="1" customWidth="1"/>
    <col min="1794" max="1794" width="68.375" style="2" bestFit="1" customWidth="1"/>
    <col min="1795" max="2041" width="9" style="2"/>
    <col min="2042" max="2042" width="53" style="2" customWidth="1"/>
    <col min="2043" max="2043" width="22.75" style="2" bestFit="1" customWidth="1"/>
    <col min="2044" max="2044" width="25.875" style="2" customWidth="1"/>
    <col min="2045" max="2045" width="10.875" style="2" customWidth="1"/>
    <col min="2046" max="2046" width="10.875" style="2" bestFit="1" customWidth="1"/>
    <col min="2047" max="2048" width="22.625" style="2" customWidth="1"/>
    <col min="2049" max="2049" width="33.375" style="2" bestFit="1" customWidth="1"/>
    <col min="2050" max="2050" width="68.375" style="2" bestFit="1" customWidth="1"/>
    <col min="2051" max="2297" width="9" style="2"/>
    <col min="2298" max="2298" width="53" style="2" customWidth="1"/>
    <col min="2299" max="2299" width="22.75" style="2" bestFit="1" customWidth="1"/>
    <col min="2300" max="2300" width="25.875" style="2" customWidth="1"/>
    <col min="2301" max="2301" width="10.875" style="2" customWidth="1"/>
    <col min="2302" max="2302" width="10.875" style="2" bestFit="1" customWidth="1"/>
    <col min="2303" max="2304" width="22.625" style="2" customWidth="1"/>
    <col min="2305" max="2305" width="33.375" style="2" bestFit="1" customWidth="1"/>
    <col min="2306" max="2306" width="68.375" style="2" bestFit="1" customWidth="1"/>
    <col min="2307" max="2553" width="9" style="2"/>
    <col min="2554" max="2554" width="53" style="2" customWidth="1"/>
    <col min="2555" max="2555" width="22.75" style="2" bestFit="1" customWidth="1"/>
    <col min="2556" max="2556" width="25.875" style="2" customWidth="1"/>
    <col min="2557" max="2557" width="10.875" style="2" customWidth="1"/>
    <col min="2558" max="2558" width="10.875" style="2" bestFit="1" customWidth="1"/>
    <col min="2559" max="2560" width="22.625" style="2" customWidth="1"/>
    <col min="2561" max="2561" width="33.375" style="2" bestFit="1" customWidth="1"/>
    <col min="2562" max="2562" width="68.375" style="2" bestFit="1" customWidth="1"/>
    <col min="2563" max="2809" width="9" style="2"/>
    <col min="2810" max="2810" width="53" style="2" customWidth="1"/>
    <col min="2811" max="2811" width="22.75" style="2" bestFit="1" customWidth="1"/>
    <col min="2812" max="2812" width="25.875" style="2" customWidth="1"/>
    <col min="2813" max="2813" width="10.875" style="2" customWidth="1"/>
    <col min="2814" max="2814" width="10.875" style="2" bestFit="1" customWidth="1"/>
    <col min="2815" max="2816" width="22.625" style="2" customWidth="1"/>
    <col min="2817" max="2817" width="33.375" style="2" bestFit="1" customWidth="1"/>
    <col min="2818" max="2818" width="68.375" style="2" bestFit="1" customWidth="1"/>
    <col min="2819" max="3065" width="9" style="2"/>
    <col min="3066" max="3066" width="53" style="2" customWidth="1"/>
    <col min="3067" max="3067" width="22.75" style="2" bestFit="1" customWidth="1"/>
    <col min="3068" max="3068" width="25.875" style="2" customWidth="1"/>
    <col min="3069" max="3069" width="10.875" style="2" customWidth="1"/>
    <col min="3070" max="3070" width="10.875" style="2" bestFit="1" customWidth="1"/>
    <col min="3071" max="3072" width="22.625" style="2" customWidth="1"/>
    <col min="3073" max="3073" width="33.375" style="2" bestFit="1" customWidth="1"/>
    <col min="3074" max="3074" width="68.375" style="2" bestFit="1" customWidth="1"/>
    <col min="3075" max="3321" width="9" style="2"/>
    <col min="3322" max="3322" width="53" style="2" customWidth="1"/>
    <col min="3323" max="3323" width="22.75" style="2" bestFit="1" customWidth="1"/>
    <col min="3324" max="3324" width="25.875" style="2" customWidth="1"/>
    <col min="3325" max="3325" width="10.875" style="2" customWidth="1"/>
    <col min="3326" max="3326" width="10.875" style="2" bestFit="1" customWidth="1"/>
    <col min="3327" max="3328" width="22.625" style="2" customWidth="1"/>
    <col min="3329" max="3329" width="33.375" style="2" bestFit="1" customWidth="1"/>
    <col min="3330" max="3330" width="68.375" style="2" bestFit="1" customWidth="1"/>
    <col min="3331" max="3577" width="9" style="2"/>
    <col min="3578" max="3578" width="53" style="2" customWidth="1"/>
    <col min="3579" max="3579" width="22.75" style="2" bestFit="1" customWidth="1"/>
    <col min="3580" max="3580" width="25.875" style="2" customWidth="1"/>
    <col min="3581" max="3581" width="10.875" style="2" customWidth="1"/>
    <col min="3582" max="3582" width="10.875" style="2" bestFit="1" customWidth="1"/>
    <col min="3583" max="3584" width="22.625" style="2" customWidth="1"/>
    <col min="3585" max="3585" width="33.375" style="2" bestFit="1" customWidth="1"/>
    <col min="3586" max="3586" width="68.375" style="2" bestFit="1" customWidth="1"/>
    <col min="3587" max="3833" width="9" style="2"/>
    <col min="3834" max="3834" width="53" style="2" customWidth="1"/>
    <col min="3835" max="3835" width="22.75" style="2" bestFit="1" customWidth="1"/>
    <col min="3836" max="3836" width="25.875" style="2" customWidth="1"/>
    <col min="3837" max="3837" width="10.875" style="2" customWidth="1"/>
    <col min="3838" max="3838" width="10.875" style="2" bestFit="1" customWidth="1"/>
    <col min="3839" max="3840" width="22.625" style="2" customWidth="1"/>
    <col min="3841" max="3841" width="33.375" style="2" bestFit="1" customWidth="1"/>
    <col min="3842" max="3842" width="68.375" style="2" bestFit="1" customWidth="1"/>
    <col min="3843" max="4089" width="9" style="2"/>
    <col min="4090" max="4090" width="53" style="2" customWidth="1"/>
    <col min="4091" max="4091" width="22.75" style="2" bestFit="1" customWidth="1"/>
    <col min="4092" max="4092" width="25.875" style="2" customWidth="1"/>
    <col min="4093" max="4093" width="10.875" style="2" customWidth="1"/>
    <col min="4094" max="4094" width="10.875" style="2" bestFit="1" customWidth="1"/>
    <col min="4095" max="4096" width="22.625" style="2" customWidth="1"/>
    <col min="4097" max="4097" width="33.375" style="2" bestFit="1" customWidth="1"/>
    <col min="4098" max="4098" width="68.375" style="2" bestFit="1" customWidth="1"/>
    <col min="4099" max="4345" width="9" style="2"/>
    <col min="4346" max="4346" width="53" style="2" customWidth="1"/>
    <col min="4347" max="4347" width="22.75" style="2" bestFit="1" customWidth="1"/>
    <col min="4348" max="4348" width="25.875" style="2" customWidth="1"/>
    <col min="4349" max="4349" width="10.875" style="2" customWidth="1"/>
    <col min="4350" max="4350" width="10.875" style="2" bestFit="1" customWidth="1"/>
    <col min="4351" max="4352" width="22.625" style="2" customWidth="1"/>
    <col min="4353" max="4353" width="33.375" style="2" bestFit="1" customWidth="1"/>
    <col min="4354" max="4354" width="68.375" style="2" bestFit="1" customWidth="1"/>
    <col min="4355" max="4601" width="9" style="2"/>
    <col min="4602" max="4602" width="53" style="2" customWidth="1"/>
    <col min="4603" max="4603" width="22.75" style="2" bestFit="1" customWidth="1"/>
    <col min="4604" max="4604" width="25.875" style="2" customWidth="1"/>
    <col min="4605" max="4605" width="10.875" style="2" customWidth="1"/>
    <col min="4606" max="4606" width="10.875" style="2" bestFit="1" customWidth="1"/>
    <col min="4607" max="4608" width="22.625" style="2" customWidth="1"/>
    <col min="4609" max="4609" width="33.375" style="2" bestFit="1" customWidth="1"/>
    <col min="4610" max="4610" width="68.375" style="2" bestFit="1" customWidth="1"/>
    <col min="4611" max="4857" width="9" style="2"/>
    <col min="4858" max="4858" width="53" style="2" customWidth="1"/>
    <col min="4859" max="4859" width="22.75" style="2" bestFit="1" customWidth="1"/>
    <col min="4860" max="4860" width="25.875" style="2" customWidth="1"/>
    <col min="4861" max="4861" width="10.875" style="2" customWidth="1"/>
    <col min="4862" max="4862" width="10.875" style="2" bestFit="1" customWidth="1"/>
    <col min="4863" max="4864" width="22.625" style="2" customWidth="1"/>
    <col min="4865" max="4865" width="33.375" style="2" bestFit="1" customWidth="1"/>
    <col min="4866" max="4866" width="68.375" style="2" bestFit="1" customWidth="1"/>
    <col min="4867" max="5113" width="9" style="2"/>
    <col min="5114" max="5114" width="53" style="2" customWidth="1"/>
    <col min="5115" max="5115" width="22.75" style="2" bestFit="1" customWidth="1"/>
    <col min="5116" max="5116" width="25.875" style="2" customWidth="1"/>
    <col min="5117" max="5117" width="10.875" style="2" customWidth="1"/>
    <col min="5118" max="5118" width="10.875" style="2" bestFit="1" customWidth="1"/>
    <col min="5119" max="5120" width="22.625" style="2" customWidth="1"/>
    <col min="5121" max="5121" width="33.375" style="2" bestFit="1" customWidth="1"/>
    <col min="5122" max="5122" width="68.375" style="2" bestFit="1" customWidth="1"/>
    <col min="5123" max="5369" width="9" style="2"/>
    <col min="5370" max="5370" width="53" style="2" customWidth="1"/>
    <col min="5371" max="5371" width="22.75" style="2" bestFit="1" customWidth="1"/>
    <col min="5372" max="5372" width="25.875" style="2" customWidth="1"/>
    <col min="5373" max="5373" width="10.875" style="2" customWidth="1"/>
    <col min="5374" max="5374" width="10.875" style="2" bestFit="1" customWidth="1"/>
    <col min="5375" max="5376" width="22.625" style="2" customWidth="1"/>
    <col min="5377" max="5377" width="33.375" style="2" bestFit="1" customWidth="1"/>
    <col min="5378" max="5378" width="68.375" style="2" bestFit="1" customWidth="1"/>
    <col min="5379" max="5625" width="9" style="2"/>
    <col min="5626" max="5626" width="53" style="2" customWidth="1"/>
    <col min="5627" max="5627" width="22.75" style="2" bestFit="1" customWidth="1"/>
    <col min="5628" max="5628" width="25.875" style="2" customWidth="1"/>
    <col min="5629" max="5629" width="10.875" style="2" customWidth="1"/>
    <col min="5630" max="5630" width="10.875" style="2" bestFit="1" customWidth="1"/>
    <col min="5631" max="5632" width="22.625" style="2" customWidth="1"/>
    <col min="5633" max="5633" width="33.375" style="2" bestFit="1" customWidth="1"/>
    <col min="5634" max="5634" width="68.375" style="2" bestFit="1" customWidth="1"/>
    <col min="5635" max="5881" width="9" style="2"/>
    <col min="5882" max="5882" width="53" style="2" customWidth="1"/>
    <col min="5883" max="5883" width="22.75" style="2" bestFit="1" customWidth="1"/>
    <col min="5884" max="5884" width="25.875" style="2" customWidth="1"/>
    <col min="5885" max="5885" width="10.875" style="2" customWidth="1"/>
    <col min="5886" max="5886" width="10.875" style="2" bestFit="1" customWidth="1"/>
    <col min="5887" max="5888" width="22.625" style="2" customWidth="1"/>
    <col min="5889" max="5889" width="33.375" style="2" bestFit="1" customWidth="1"/>
    <col min="5890" max="5890" width="68.375" style="2" bestFit="1" customWidth="1"/>
    <col min="5891" max="6137" width="9" style="2"/>
    <col min="6138" max="6138" width="53" style="2" customWidth="1"/>
    <col min="6139" max="6139" width="22.75" style="2" bestFit="1" customWidth="1"/>
    <col min="6140" max="6140" width="25.875" style="2" customWidth="1"/>
    <col min="6141" max="6141" width="10.875" style="2" customWidth="1"/>
    <col min="6142" max="6142" width="10.875" style="2" bestFit="1" customWidth="1"/>
    <col min="6143" max="6144" width="22.625" style="2" customWidth="1"/>
    <col min="6145" max="6145" width="33.375" style="2" bestFit="1" customWidth="1"/>
    <col min="6146" max="6146" width="68.375" style="2" bestFit="1" customWidth="1"/>
    <col min="6147" max="6393" width="9" style="2"/>
    <col min="6394" max="6394" width="53" style="2" customWidth="1"/>
    <col min="6395" max="6395" width="22.75" style="2" bestFit="1" customWidth="1"/>
    <col min="6396" max="6396" width="25.875" style="2" customWidth="1"/>
    <col min="6397" max="6397" width="10.875" style="2" customWidth="1"/>
    <col min="6398" max="6398" width="10.875" style="2" bestFit="1" customWidth="1"/>
    <col min="6399" max="6400" width="22.625" style="2" customWidth="1"/>
    <col min="6401" max="6401" width="33.375" style="2" bestFit="1" customWidth="1"/>
    <col min="6402" max="6402" width="68.375" style="2" bestFit="1" customWidth="1"/>
    <col min="6403" max="6649" width="9" style="2"/>
    <col min="6650" max="6650" width="53" style="2" customWidth="1"/>
    <col min="6651" max="6651" width="22.75" style="2" bestFit="1" customWidth="1"/>
    <col min="6652" max="6652" width="25.875" style="2" customWidth="1"/>
    <col min="6653" max="6653" width="10.875" style="2" customWidth="1"/>
    <col min="6654" max="6654" width="10.875" style="2" bestFit="1" customWidth="1"/>
    <col min="6655" max="6656" width="22.625" style="2" customWidth="1"/>
    <col min="6657" max="6657" width="33.375" style="2" bestFit="1" customWidth="1"/>
    <col min="6658" max="6658" width="68.375" style="2" bestFit="1" customWidth="1"/>
    <col min="6659" max="6905" width="9" style="2"/>
    <col min="6906" max="6906" width="53" style="2" customWidth="1"/>
    <col min="6907" max="6907" width="22.75" style="2" bestFit="1" customWidth="1"/>
    <col min="6908" max="6908" width="25.875" style="2" customWidth="1"/>
    <col min="6909" max="6909" width="10.875" style="2" customWidth="1"/>
    <col min="6910" max="6910" width="10.875" style="2" bestFit="1" customWidth="1"/>
    <col min="6911" max="6912" width="22.625" style="2" customWidth="1"/>
    <col min="6913" max="6913" width="33.375" style="2" bestFit="1" customWidth="1"/>
    <col min="6914" max="6914" width="68.375" style="2" bestFit="1" customWidth="1"/>
    <col min="6915" max="7161" width="9" style="2"/>
    <col min="7162" max="7162" width="53" style="2" customWidth="1"/>
    <col min="7163" max="7163" width="22.75" style="2" bestFit="1" customWidth="1"/>
    <col min="7164" max="7164" width="25.875" style="2" customWidth="1"/>
    <col min="7165" max="7165" width="10.875" style="2" customWidth="1"/>
    <col min="7166" max="7166" width="10.875" style="2" bestFit="1" customWidth="1"/>
    <col min="7167" max="7168" width="22.625" style="2" customWidth="1"/>
    <col min="7169" max="7169" width="33.375" style="2" bestFit="1" customWidth="1"/>
    <col min="7170" max="7170" width="68.375" style="2" bestFit="1" customWidth="1"/>
    <col min="7171" max="7417" width="9" style="2"/>
    <col min="7418" max="7418" width="53" style="2" customWidth="1"/>
    <col min="7419" max="7419" width="22.75" style="2" bestFit="1" customWidth="1"/>
    <col min="7420" max="7420" width="25.875" style="2" customWidth="1"/>
    <col min="7421" max="7421" width="10.875" style="2" customWidth="1"/>
    <col min="7422" max="7422" width="10.875" style="2" bestFit="1" customWidth="1"/>
    <col min="7423" max="7424" width="22.625" style="2" customWidth="1"/>
    <col min="7425" max="7425" width="33.375" style="2" bestFit="1" customWidth="1"/>
    <col min="7426" max="7426" width="68.375" style="2" bestFit="1" customWidth="1"/>
    <col min="7427" max="7673" width="9" style="2"/>
    <col min="7674" max="7674" width="53" style="2" customWidth="1"/>
    <col min="7675" max="7675" width="22.75" style="2" bestFit="1" customWidth="1"/>
    <col min="7676" max="7676" width="25.875" style="2" customWidth="1"/>
    <col min="7677" max="7677" width="10.875" style="2" customWidth="1"/>
    <col min="7678" max="7678" width="10.875" style="2" bestFit="1" customWidth="1"/>
    <col min="7679" max="7680" width="22.625" style="2" customWidth="1"/>
    <col min="7681" max="7681" width="33.375" style="2" bestFit="1" customWidth="1"/>
    <col min="7682" max="7682" width="68.375" style="2" bestFit="1" customWidth="1"/>
    <col min="7683" max="7929" width="9" style="2"/>
    <col min="7930" max="7930" width="53" style="2" customWidth="1"/>
    <col min="7931" max="7931" width="22.75" style="2" bestFit="1" customWidth="1"/>
    <col min="7932" max="7932" width="25.875" style="2" customWidth="1"/>
    <col min="7933" max="7933" width="10.875" style="2" customWidth="1"/>
    <col min="7934" max="7934" width="10.875" style="2" bestFit="1" customWidth="1"/>
    <col min="7935" max="7936" width="22.625" style="2" customWidth="1"/>
    <col min="7937" max="7937" width="33.375" style="2" bestFit="1" customWidth="1"/>
    <col min="7938" max="7938" width="68.375" style="2" bestFit="1" customWidth="1"/>
    <col min="7939" max="8185" width="9" style="2"/>
    <col min="8186" max="8186" width="53" style="2" customWidth="1"/>
    <col min="8187" max="8187" width="22.75" style="2" bestFit="1" customWidth="1"/>
    <col min="8188" max="8188" width="25.875" style="2" customWidth="1"/>
    <col min="8189" max="8189" width="10.875" style="2" customWidth="1"/>
    <col min="8190" max="8190" width="10.875" style="2" bestFit="1" customWidth="1"/>
    <col min="8191" max="8192" width="22.625" style="2" customWidth="1"/>
    <col min="8193" max="8193" width="33.375" style="2" bestFit="1" customWidth="1"/>
    <col min="8194" max="8194" width="68.375" style="2" bestFit="1" customWidth="1"/>
    <col min="8195" max="8441" width="9" style="2"/>
    <col min="8442" max="8442" width="53" style="2" customWidth="1"/>
    <col min="8443" max="8443" width="22.75" style="2" bestFit="1" customWidth="1"/>
    <col min="8444" max="8444" width="25.875" style="2" customWidth="1"/>
    <col min="8445" max="8445" width="10.875" style="2" customWidth="1"/>
    <col min="8446" max="8446" width="10.875" style="2" bestFit="1" customWidth="1"/>
    <col min="8447" max="8448" width="22.625" style="2" customWidth="1"/>
    <col min="8449" max="8449" width="33.375" style="2" bestFit="1" customWidth="1"/>
    <col min="8450" max="8450" width="68.375" style="2" bestFit="1" customWidth="1"/>
    <col min="8451" max="8697" width="9" style="2"/>
    <col min="8698" max="8698" width="53" style="2" customWidth="1"/>
    <col min="8699" max="8699" width="22.75" style="2" bestFit="1" customWidth="1"/>
    <col min="8700" max="8700" width="25.875" style="2" customWidth="1"/>
    <col min="8701" max="8701" width="10.875" style="2" customWidth="1"/>
    <col min="8702" max="8702" width="10.875" style="2" bestFit="1" customWidth="1"/>
    <col min="8703" max="8704" width="22.625" style="2" customWidth="1"/>
    <col min="8705" max="8705" width="33.375" style="2" bestFit="1" customWidth="1"/>
    <col min="8706" max="8706" width="68.375" style="2" bestFit="1" customWidth="1"/>
    <col min="8707" max="8953" width="9" style="2"/>
    <col min="8954" max="8954" width="53" style="2" customWidth="1"/>
    <col min="8955" max="8955" width="22.75" style="2" bestFit="1" customWidth="1"/>
    <col min="8956" max="8956" width="25.875" style="2" customWidth="1"/>
    <col min="8957" max="8957" width="10.875" style="2" customWidth="1"/>
    <col min="8958" max="8958" width="10.875" style="2" bestFit="1" customWidth="1"/>
    <col min="8959" max="8960" width="22.625" style="2" customWidth="1"/>
    <col min="8961" max="8961" width="33.375" style="2" bestFit="1" customWidth="1"/>
    <col min="8962" max="8962" width="68.375" style="2" bestFit="1" customWidth="1"/>
    <col min="8963" max="9209" width="9" style="2"/>
    <col min="9210" max="9210" width="53" style="2" customWidth="1"/>
    <col min="9211" max="9211" width="22.75" style="2" bestFit="1" customWidth="1"/>
    <col min="9212" max="9212" width="25.875" style="2" customWidth="1"/>
    <col min="9213" max="9213" width="10.875" style="2" customWidth="1"/>
    <col min="9214" max="9214" width="10.875" style="2" bestFit="1" customWidth="1"/>
    <col min="9215" max="9216" width="22.625" style="2" customWidth="1"/>
    <col min="9217" max="9217" width="33.375" style="2" bestFit="1" customWidth="1"/>
    <col min="9218" max="9218" width="68.375" style="2" bestFit="1" customWidth="1"/>
    <col min="9219" max="9465" width="9" style="2"/>
    <col min="9466" max="9466" width="53" style="2" customWidth="1"/>
    <col min="9467" max="9467" width="22.75" style="2" bestFit="1" customWidth="1"/>
    <col min="9468" max="9468" width="25.875" style="2" customWidth="1"/>
    <col min="9469" max="9469" width="10.875" style="2" customWidth="1"/>
    <col min="9470" max="9470" width="10.875" style="2" bestFit="1" customWidth="1"/>
    <col min="9471" max="9472" width="22.625" style="2" customWidth="1"/>
    <col min="9473" max="9473" width="33.375" style="2" bestFit="1" customWidth="1"/>
    <col min="9474" max="9474" width="68.375" style="2" bestFit="1" customWidth="1"/>
    <col min="9475" max="9721" width="9" style="2"/>
    <col min="9722" max="9722" width="53" style="2" customWidth="1"/>
    <col min="9723" max="9723" width="22.75" style="2" bestFit="1" customWidth="1"/>
    <col min="9724" max="9724" width="25.875" style="2" customWidth="1"/>
    <col min="9725" max="9725" width="10.875" style="2" customWidth="1"/>
    <col min="9726" max="9726" width="10.875" style="2" bestFit="1" customWidth="1"/>
    <col min="9727" max="9728" width="22.625" style="2" customWidth="1"/>
    <col min="9729" max="9729" width="33.375" style="2" bestFit="1" customWidth="1"/>
    <col min="9730" max="9730" width="68.375" style="2" bestFit="1" customWidth="1"/>
    <col min="9731" max="9977" width="9" style="2"/>
    <col min="9978" max="9978" width="53" style="2" customWidth="1"/>
    <col min="9979" max="9979" width="22.75" style="2" bestFit="1" customWidth="1"/>
    <col min="9980" max="9980" width="25.875" style="2" customWidth="1"/>
    <col min="9981" max="9981" width="10.875" style="2" customWidth="1"/>
    <col min="9982" max="9982" width="10.875" style="2" bestFit="1" customWidth="1"/>
    <col min="9983" max="9984" width="22.625" style="2" customWidth="1"/>
    <col min="9985" max="9985" width="33.375" style="2" bestFit="1" customWidth="1"/>
    <col min="9986" max="9986" width="68.375" style="2" bestFit="1" customWidth="1"/>
    <col min="9987" max="10233" width="9" style="2"/>
    <col min="10234" max="10234" width="53" style="2" customWidth="1"/>
    <col min="10235" max="10235" width="22.75" style="2" bestFit="1" customWidth="1"/>
    <col min="10236" max="10236" width="25.875" style="2" customWidth="1"/>
    <col min="10237" max="10237" width="10.875" style="2" customWidth="1"/>
    <col min="10238" max="10238" width="10.875" style="2" bestFit="1" customWidth="1"/>
    <col min="10239" max="10240" width="22.625" style="2" customWidth="1"/>
    <col min="10241" max="10241" width="33.375" style="2" bestFit="1" customWidth="1"/>
    <col min="10242" max="10242" width="68.375" style="2" bestFit="1" customWidth="1"/>
    <col min="10243" max="10489" width="9" style="2"/>
    <col min="10490" max="10490" width="53" style="2" customWidth="1"/>
    <col min="10491" max="10491" width="22.75" style="2" bestFit="1" customWidth="1"/>
    <col min="10492" max="10492" width="25.875" style="2" customWidth="1"/>
    <col min="10493" max="10493" width="10.875" style="2" customWidth="1"/>
    <col min="10494" max="10494" width="10.875" style="2" bestFit="1" customWidth="1"/>
    <col min="10495" max="10496" width="22.625" style="2" customWidth="1"/>
    <col min="10497" max="10497" width="33.375" style="2" bestFit="1" customWidth="1"/>
    <col min="10498" max="10498" width="68.375" style="2" bestFit="1" customWidth="1"/>
    <col min="10499" max="10745" width="9" style="2"/>
    <col min="10746" max="10746" width="53" style="2" customWidth="1"/>
    <col min="10747" max="10747" width="22.75" style="2" bestFit="1" customWidth="1"/>
    <col min="10748" max="10748" width="25.875" style="2" customWidth="1"/>
    <col min="10749" max="10749" width="10.875" style="2" customWidth="1"/>
    <col min="10750" max="10750" width="10.875" style="2" bestFit="1" customWidth="1"/>
    <col min="10751" max="10752" width="22.625" style="2" customWidth="1"/>
    <col min="10753" max="10753" width="33.375" style="2" bestFit="1" customWidth="1"/>
    <col min="10754" max="10754" width="68.375" style="2" bestFit="1" customWidth="1"/>
    <col min="10755" max="11001" width="9" style="2"/>
    <col min="11002" max="11002" width="53" style="2" customWidth="1"/>
    <col min="11003" max="11003" width="22.75" style="2" bestFit="1" customWidth="1"/>
    <col min="11004" max="11004" width="25.875" style="2" customWidth="1"/>
    <col min="11005" max="11005" width="10.875" style="2" customWidth="1"/>
    <col min="11006" max="11006" width="10.875" style="2" bestFit="1" customWidth="1"/>
    <col min="11007" max="11008" width="22.625" style="2" customWidth="1"/>
    <col min="11009" max="11009" width="33.375" style="2" bestFit="1" customWidth="1"/>
    <col min="11010" max="11010" width="68.375" style="2" bestFit="1" customWidth="1"/>
    <col min="11011" max="11257" width="9" style="2"/>
    <col min="11258" max="11258" width="53" style="2" customWidth="1"/>
    <col min="11259" max="11259" width="22.75" style="2" bestFit="1" customWidth="1"/>
    <col min="11260" max="11260" width="25.875" style="2" customWidth="1"/>
    <col min="11261" max="11261" width="10.875" style="2" customWidth="1"/>
    <col min="11262" max="11262" width="10.875" style="2" bestFit="1" customWidth="1"/>
    <col min="11263" max="11264" width="22.625" style="2" customWidth="1"/>
    <col min="11265" max="11265" width="33.375" style="2" bestFit="1" customWidth="1"/>
    <col min="11266" max="11266" width="68.375" style="2" bestFit="1" customWidth="1"/>
    <col min="11267" max="11513" width="9" style="2"/>
    <col min="11514" max="11514" width="53" style="2" customWidth="1"/>
    <col min="11515" max="11515" width="22.75" style="2" bestFit="1" customWidth="1"/>
    <col min="11516" max="11516" width="25.875" style="2" customWidth="1"/>
    <col min="11517" max="11517" width="10.875" style="2" customWidth="1"/>
    <col min="11518" max="11518" width="10.875" style="2" bestFit="1" customWidth="1"/>
    <col min="11519" max="11520" width="22.625" style="2" customWidth="1"/>
    <col min="11521" max="11521" width="33.375" style="2" bestFit="1" customWidth="1"/>
    <col min="11522" max="11522" width="68.375" style="2" bestFit="1" customWidth="1"/>
    <col min="11523" max="11769" width="9" style="2"/>
    <col min="11770" max="11770" width="53" style="2" customWidth="1"/>
    <col min="11771" max="11771" width="22.75" style="2" bestFit="1" customWidth="1"/>
    <col min="11772" max="11772" width="25.875" style="2" customWidth="1"/>
    <col min="11773" max="11773" width="10.875" style="2" customWidth="1"/>
    <col min="11774" max="11774" width="10.875" style="2" bestFit="1" customWidth="1"/>
    <col min="11775" max="11776" width="22.625" style="2" customWidth="1"/>
    <col min="11777" max="11777" width="33.375" style="2" bestFit="1" customWidth="1"/>
    <col min="11778" max="11778" width="68.375" style="2" bestFit="1" customWidth="1"/>
    <col min="11779" max="12025" width="9" style="2"/>
    <col min="12026" max="12026" width="53" style="2" customWidth="1"/>
    <col min="12027" max="12027" width="22.75" style="2" bestFit="1" customWidth="1"/>
    <col min="12028" max="12028" width="25.875" style="2" customWidth="1"/>
    <col min="12029" max="12029" width="10.875" style="2" customWidth="1"/>
    <col min="12030" max="12030" width="10.875" style="2" bestFit="1" customWidth="1"/>
    <col min="12031" max="12032" width="22.625" style="2" customWidth="1"/>
    <col min="12033" max="12033" width="33.375" style="2" bestFit="1" customWidth="1"/>
    <col min="12034" max="12034" width="68.375" style="2" bestFit="1" customWidth="1"/>
    <col min="12035" max="12281" width="9" style="2"/>
    <col min="12282" max="12282" width="53" style="2" customWidth="1"/>
    <col min="12283" max="12283" width="22.75" style="2" bestFit="1" customWidth="1"/>
    <col min="12284" max="12284" width="25.875" style="2" customWidth="1"/>
    <col min="12285" max="12285" width="10.875" style="2" customWidth="1"/>
    <col min="12286" max="12286" width="10.875" style="2" bestFit="1" customWidth="1"/>
    <col min="12287" max="12288" width="22.625" style="2" customWidth="1"/>
    <col min="12289" max="12289" width="33.375" style="2" bestFit="1" customWidth="1"/>
    <col min="12290" max="12290" width="68.375" style="2" bestFit="1" customWidth="1"/>
    <col min="12291" max="12537" width="9" style="2"/>
    <col min="12538" max="12538" width="53" style="2" customWidth="1"/>
    <col min="12539" max="12539" width="22.75" style="2" bestFit="1" customWidth="1"/>
    <col min="12540" max="12540" width="25.875" style="2" customWidth="1"/>
    <col min="12541" max="12541" width="10.875" style="2" customWidth="1"/>
    <col min="12542" max="12542" width="10.875" style="2" bestFit="1" customWidth="1"/>
    <col min="12543" max="12544" width="22.625" style="2" customWidth="1"/>
    <col min="12545" max="12545" width="33.375" style="2" bestFit="1" customWidth="1"/>
    <col min="12546" max="12546" width="68.375" style="2" bestFit="1" customWidth="1"/>
    <col min="12547" max="12793" width="9" style="2"/>
    <col min="12794" max="12794" width="53" style="2" customWidth="1"/>
    <col min="12795" max="12795" width="22.75" style="2" bestFit="1" customWidth="1"/>
    <col min="12796" max="12796" width="25.875" style="2" customWidth="1"/>
    <col min="12797" max="12797" width="10.875" style="2" customWidth="1"/>
    <col min="12798" max="12798" width="10.875" style="2" bestFit="1" customWidth="1"/>
    <col min="12799" max="12800" width="22.625" style="2" customWidth="1"/>
    <col min="12801" max="12801" width="33.375" style="2" bestFit="1" customWidth="1"/>
    <col min="12802" max="12802" width="68.375" style="2" bestFit="1" customWidth="1"/>
    <col min="12803" max="13049" width="9" style="2"/>
    <col min="13050" max="13050" width="53" style="2" customWidth="1"/>
    <col min="13051" max="13051" width="22.75" style="2" bestFit="1" customWidth="1"/>
    <col min="13052" max="13052" width="25.875" style="2" customWidth="1"/>
    <col min="13053" max="13053" width="10.875" style="2" customWidth="1"/>
    <col min="13054" max="13054" width="10.875" style="2" bestFit="1" customWidth="1"/>
    <col min="13055" max="13056" width="22.625" style="2" customWidth="1"/>
    <col min="13057" max="13057" width="33.375" style="2" bestFit="1" customWidth="1"/>
    <col min="13058" max="13058" width="68.375" style="2" bestFit="1" customWidth="1"/>
    <col min="13059" max="13305" width="9" style="2"/>
    <col min="13306" max="13306" width="53" style="2" customWidth="1"/>
    <col min="13307" max="13307" width="22.75" style="2" bestFit="1" customWidth="1"/>
    <col min="13308" max="13308" width="25.875" style="2" customWidth="1"/>
    <col min="13309" max="13309" width="10.875" style="2" customWidth="1"/>
    <col min="13310" max="13310" width="10.875" style="2" bestFit="1" customWidth="1"/>
    <col min="13311" max="13312" width="22.625" style="2" customWidth="1"/>
    <col min="13313" max="13313" width="33.375" style="2" bestFit="1" customWidth="1"/>
    <col min="13314" max="13314" width="68.375" style="2" bestFit="1" customWidth="1"/>
    <col min="13315" max="13561" width="9" style="2"/>
    <col min="13562" max="13562" width="53" style="2" customWidth="1"/>
    <col min="13563" max="13563" width="22.75" style="2" bestFit="1" customWidth="1"/>
    <col min="13564" max="13564" width="25.875" style="2" customWidth="1"/>
    <col min="13565" max="13565" width="10.875" style="2" customWidth="1"/>
    <col min="13566" max="13566" width="10.875" style="2" bestFit="1" customWidth="1"/>
    <col min="13567" max="13568" width="22.625" style="2" customWidth="1"/>
    <col min="13569" max="13569" width="33.375" style="2" bestFit="1" customWidth="1"/>
    <col min="13570" max="13570" width="68.375" style="2" bestFit="1" customWidth="1"/>
    <col min="13571" max="13817" width="9" style="2"/>
    <col min="13818" max="13818" width="53" style="2" customWidth="1"/>
    <col min="13819" max="13819" width="22.75" style="2" bestFit="1" customWidth="1"/>
    <col min="13820" max="13820" width="25.875" style="2" customWidth="1"/>
    <col min="13821" max="13821" width="10.875" style="2" customWidth="1"/>
    <col min="13822" max="13822" width="10.875" style="2" bestFit="1" customWidth="1"/>
    <col min="13823" max="13824" width="22.625" style="2" customWidth="1"/>
    <col min="13825" max="13825" width="33.375" style="2" bestFit="1" customWidth="1"/>
    <col min="13826" max="13826" width="68.375" style="2" bestFit="1" customWidth="1"/>
    <col min="13827" max="14073" width="9" style="2"/>
    <col min="14074" max="14074" width="53" style="2" customWidth="1"/>
    <col min="14075" max="14075" width="22.75" style="2" bestFit="1" customWidth="1"/>
    <col min="14076" max="14076" width="25.875" style="2" customWidth="1"/>
    <col min="14077" max="14077" width="10.875" style="2" customWidth="1"/>
    <col min="14078" max="14078" width="10.875" style="2" bestFit="1" customWidth="1"/>
    <col min="14079" max="14080" width="22.625" style="2" customWidth="1"/>
    <col min="14081" max="14081" width="33.375" style="2" bestFit="1" customWidth="1"/>
    <col min="14082" max="14082" width="68.375" style="2" bestFit="1" customWidth="1"/>
    <col min="14083" max="14329" width="9" style="2"/>
    <col min="14330" max="14330" width="53" style="2" customWidth="1"/>
    <col min="14331" max="14331" width="22.75" style="2" bestFit="1" customWidth="1"/>
    <col min="14332" max="14332" width="25.875" style="2" customWidth="1"/>
    <col min="14333" max="14333" width="10.875" style="2" customWidth="1"/>
    <col min="14334" max="14334" width="10.875" style="2" bestFit="1" customWidth="1"/>
    <col min="14335" max="14336" width="22.625" style="2" customWidth="1"/>
    <col min="14337" max="14337" width="33.375" style="2" bestFit="1" customWidth="1"/>
    <col min="14338" max="14338" width="68.375" style="2" bestFit="1" customWidth="1"/>
    <col min="14339" max="14585" width="9" style="2"/>
    <col min="14586" max="14586" width="53" style="2" customWidth="1"/>
    <col min="14587" max="14587" width="22.75" style="2" bestFit="1" customWidth="1"/>
    <col min="14588" max="14588" width="25.875" style="2" customWidth="1"/>
    <col min="14589" max="14589" width="10.875" style="2" customWidth="1"/>
    <col min="14590" max="14590" width="10.875" style="2" bestFit="1" customWidth="1"/>
    <col min="14591" max="14592" width="22.625" style="2" customWidth="1"/>
    <col min="14593" max="14593" width="33.375" style="2" bestFit="1" customWidth="1"/>
    <col min="14594" max="14594" width="68.375" style="2" bestFit="1" customWidth="1"/>
    <col min="14595" max="14841" width="9" style="2"/>
    <col min="14842" max="14842" width="53" style="2" customWidth="1"/>
    <col min="14843" max="14843" width="22.75" style="2" bestFit="1" customWidth="1"/>
    <col min="14844" max="14844" width="25.875" style="2" customWidth="1"/>
    <col min="14845" max="14845" width="10.875" style="2" customWidth="1"/>
    <col min="14846" max="14846" width="10.875" style="2" bestFit="1" customWidth="1"/>
    <col min="14847" max="14848" width="22.625" style="2" customWidth="1"/>
    <col min="14849" max="14849" width="33.375" style="2" bestFit="1" customWidth="1"/>
    <col min="14850" max="14850" width="68.375" style="2" bestFit="1" customWidth="1"/>
    <col min="14851" max="15097" width="9" style="2"/>
    <col min="15098" max="15098" width="53" style="2" customWidth="1"/>
    <col min="15099" max="15099" width="22.75" style="2" bestFit="1" customWidth="1"/>
    <col min="15100" max="15100" width="25.875" style="2" customWidth="1"/>
    <col min="15101" max="15101" width="10.875" style="2" customWidth="1"/>
    <col min="15102" max="15102" width="10.875" style="2" bestFit="1" customWidth="1"/>
    <col min="15103" max="15104" width="22.625" style="2" customWidth="1"/>
    <col min="15105" max="15105" width="33.375" style="2" bestFit="1" customWidth="1"/>
    <col min="15106" max="15106" width="68.375" style="2" bestFit="1" customWidth="1"/>
    <col min="15107" max="15353" width="9" style="2"/>
    <col min="15354" max="15354" width="53" style="2" customWidth="1"/>
    <col min="15355" max="15355" width="22.75" style="2" bestFit="1" customWidth="1"/>
    <col min="15356" max="15356" width="25.875" style="2" customWidth="1"/>
    <col min="15357" max="15357" width="10.875" style="2" customWidth="1"/>
    <col min="15358" max="15358" width="10.875" style="2" bestFit="1" customWidth="1"/>
    <col min="15359" max="15360" width="22.625" style="2" customWidth="1"/>
    <col min="15361" max="15361" width="33.375" style="2" bestFit="1" customWidth="1"/>
    <col min="15362" max="15362" width="68.375" style="2" bestFit="1" customWidth="1"/>
    <col min="15363" max="15609" width="9" style="2"/>
    <col min="15610" max="15610" width="53" style="2" customWidth="1"/>
    <col min="15611" max="15611" width="22.75" style="2" bestFit="1" customWidth="1"/>
    <col min="15612" max="15612" width="25.875" style="2" customWidth="1"/>
    <col min="15613" max="15613" width="10.875" style="2" customWidth="1"/>
    <col min="15614" max="15614" width="10.875" style="2" bestFit="1" customWidth="1"/>
    <col min="15615" max="15616" width="22.625" style="2" customWidth="1"/>
    <col min="15617" max="15617" width="33.375" style="2" bestFit="1" customWidth="1"/>
    <col min="15618" max="15618" width="68.375" style="2" bestFit="1" customWidth="1"/>
    <col min="15619" max="15865" width="9" style="2"/>
    <col min="15866" max="15866" width="53" style="2" customWidth="1"/>
    <col min="15867" max="15867" width="22.75" style="2" bestFit="1" customWidth="1"/>
    <col min="15868" max="15868" width="25.875" style="2" customWidth="1"/>
    <col min="15869" max="15869" width="10.875" style="2" customWidth="1"/>
    <col min="15870" max="15870" width="10.875" style="2" bestFit="1" customWidth="1"/>
    <col min="15871" max="15872" width="22.625" style="2" customWidth="1"/>
    <col min="15873" max="15873" width="33.375" style="2" bestFit="1" customWidth="1"/>
    <col min="15874" max="15874" width="68.375" style="2" bestFit="1" customWidth="1"/>
    <col min="15875" max="16121" width="9" style="2"/>
    <col min="16122" max="16122" width="53" style="2" customWidth="1"/>
    <col min="16123" max="16123" width="22.75" style="2" bestFit="1" customWidth="1"/>
    <col min="16124" max="16124" width="25.875" style="2" customWidth="1"/>
    <col min="16125" max="16125" width="10.875" style="2" customWidth="1"/>
    <col min="16126" max="16126" width="10.875" style="2" bestFit="1" customWidth="1"/>
    <col min="16127" max="16128" width="22.625" style="2" customWidth="1"/>
    <col min="16129" max="16129" width="33.375" style="2" bestFit="1" customWidth="1"/>
    <col min="16130" max="16130" width="68.375" style="2" bestFit="1" customWidth="1"/>
    <col min="16131" max="16384" width="9" style="2"/>
  </cols>
  <sheetData>
    <row r="1" spans="1:5" x14ac:dyDescent="0.15">
      <c r="A1" s="3" t="s">
        <v>5</v>
      </c>
      <c r="B1" s="3" t="s">
        <v>6</v>
      </c>
      <c r="C1" s="3" t="s">
        <v>7</v>
      </c>
      <c r="D1" s="2" t="s">
        <v>46</v>
      </c>
      <c r="E1" s="2" t="s">
        <v>181</v>
      </c>
    </row>
    <row r="2" spans="1:5" x14ac:dyDescent="0.15">
      <c r="A2" s="79" t="s">
        <v>625</v>
      </c>
      <c r="B2" s="2">
        <v>1</v>
      </c>
      <c r="C2" s="2" t="str">
        <f>[1]!t_cfl(A2,-1,"\")</f>
        <v>10KV线路盘点表-西咸移交--电缆运检室.xls</v>
      </c>
      <c r="E2" s="2" t="s">
        <v>629</v>
      </c>
    </row>
    <row r="3" spans="1:5" x14ac:dyDescent="0.15">
      <c r="A3" s="79" t="s">
        <v>626</v>
      </c>
      <c r="B3" s="2">
        <v>2</v>
      </c>
      <c r="C3" s="2" t="str">
        <f>[1]!t_cfl(A3,-1,"\")</f>
        <v>10KV线路盘点表-西咸移交--户县.xls</v>
      </c>
      <c r="E3" s="2" t="s">
        <v>629</v>
      </c>
    </row>
    <row r="4" spans="1:5" x14ac:dyDescent="0.15">
      <c r="A4" s="79" t="s">
        <v>627</v>
      </c>
      <c r="B4" s="2">
        <v>3</v>
      </c>
      <c r="C4" s="2" t="str">
        <f>[1]!t_cfl(A4,-1,"\")</f>
        <v>10KV线路盘点表-西咸移交--配电运检室.xls</v>
      </c>
      <c r="E4" s="2" t="s">
        <v>629</v>
      </c>
    </row>
    <row r="5" spans="1:5" x14ac:dyDescent="0.15">
      <c r="A5" s="79" t="s">
        <v>628</v>
      </c>
      <c r="B5" s="2">
        <v>4</v>
      </c>
      <c r="C5" s="2" t="str">
        <f>[1]!t_cfl(A5,-1,"\")</f>
        <v>10KV线路盘点表-西咸移交--长安.xls</v>
      </c>
      <c r="E5" s="2" t="s">
        <v>629</v>
      </c>
    </row>
    <row r="6" spans="1:5" x14ac:dyDescent="0.15">
      <c r="A6" s="79"/>
      <c r="C6" s="2" t="str">
        <f>[1]!t_cfl(A6,-1,"\")</f>
        <v/>
      </c>
    </row>
    <row r="7" spans="1:5" x14ac:dyDescent="0.15">
      <c r="A7" s="79"/>
      <c r="C7" s="2" t="str">
        <f>[1]!t_cfl(A7,-1,"\")</f>
        <v/>
      </c>
    </row>
    <row r="8" spans="1:5" x14ac:dyDescent="0.15">
      <c r="A8" s="79"/>
      <c r="C8" s="2" t="str">
        <f>[1]!t_cfl(A8,-1,"\")</f>
        <v/>
      </c>
    </row>
    <row r="9" spans="1:5" x14ac:dyDescent="0.15">
      <c r="A9" s="79"/>
      <c r="C9" s="2" t="str">
        <f>[1]!t_cfl(A9,-1,"\")</f>
        <v/>
      </c>
    </row>
    <row r="10" spans="1:5" x14ac:dyDescent="0.15">
      <c r="A10" s="79"/>
      <c r="C10" s="2" t="str">
        <f>[1]!t_cfl(A10,-1,"\")</f>
        <v/>
      </c>
    </row>
    <row r="11" spans="1:5" x14ac:dyDescent="0.15">
      <c r="A11" s="79"/>
      <c r="C11" s="2" t="str">
        <f>[1]!t_cfl(A11,-1,"\")</f>
        <v/>
      </c>
    </row>
    <row r="12" spans="1:5" x14ac:dyDescent="0.15">
      <c r="A12" s="78"/>
      <c r="C12" s="2" t="str">
        <f>[1]!t_cfl(A12,-1,"\")</f>
        <v/>
      </c>
    </row>
    <row r="13" spans="1:5" x14ac:dyDescent="0.15">
      <c r="A13" s="78"/>
      <c r="C13" s="2" t="str">
        <f>[1]!t_cfl(A13,-1,"\")</f>
        <v/>
      </c>
    </row>
    <row r="14" spans="1:5" x14ac:dyDescent="0.15">
      <c r="A14" s="78"/>
      <c r="C14" s="2" t="str">
        <f>[1]!t_cfl(A14,-1,"\")</f>
        <v/>
      </c>
    </row>
    <row r="15" spans="1:5" x14ac:dyDescent="0.15">
      <c r="A15" s="78"/>
    </row>
    <row r="16" spans="1:5" x14ac:dyDescent="0.15">
      <c r="A16" s="78"/>
    </row>
    <row r="17" spans="1:1" x14ac:dyDescent="0.15">
      <c r="A17" s="78"/>
    </row>
    <row r="18" spans="1:1" x14ac:dyDescent="0.15">
      <c r="A18" s="78"/>
    </row>
    <row r="19" spans="1:1" x14ac:dyDescent="0.15">
      <c r="A19" s="78"/>
    </row>
    <row r="20" spans="1:1" x14ac:dyDescent="0.15">
      <c r="A20" s="78"/>
    </row>
    <row r="21" spans="1:1" x14ac:dyDescent="0.15">
      <c r="A21" s="78"/>
    </row>
    <row r="22" spans="1:1" x14ac:dyDescent="0.15">
      <c r="A22" s="78"/>
    </row>
  </sheetData>
  <autoFilter ref="A1:E22">
    <sortState ref="A2:E99">
      <sortCondition ref="B1:B99"/>
    </sortState>
  </autoFilter>
  <phoneticPr fontId="1" type="noConversion"/>
  <conditionalFormatting sqref="B1:B1048576">
    <cfRule type="duplicateValues" dxfId="7" priority="3"/>
  </conditionalFormatting>
  <conditionalFormatting sqref="C1 C15:C1048576">
    <cfRule type="duplicateValues" dxfId="6" priority="2"/>
  </conditionalFormatting>
  <conditionalFormatting sqref="C2:C14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8" sqref="E8"/>
    </sheetView>
  </sheetViews>
  <sheetFormatPr defaultRowHeight="13.5" x14ac:dyDescent="0.15"/>
  <cols>
    <col min="1" max="1" width="19.25" bestFit="1" customWidth="1"/>
    <col min="2" max="2" width="19.75" bestFit="1" customWidth="1"/>
    <col min="3" max="3" width="11" bestFit="1" customWidth="1"/>
    <col min="4" max="4" width="8.5" bestFit="1" customWidth="1"/>
    <col min="5" max="5" width="25.5" bestFit="1" customWidth="1"/>
  </cols>
  <sheetData>
    <row r="1" spans="1:12" s="64" customFormat="1" x14ac:dyDescent="0.15">
      <c r="A1" s="64" t="s">
        <v>277</v>
      </c>
      <c r="B1" s="64" t="s">
        <v>278</v>
      </c>
      <c r="C1" s="64" t="s">
        <v>279</v>
      </c>
      <c r="D1" s="64" t="s">
        <v>292</v>
      </c>
      <c r="E1" s="64" t="s">
        <v>323</v>
      </c>
    </row>
    <row r="2" spans="1:12" x14ac:dyDescent="0.15">
      <c r="A2" t="s">
        <v>222</v>
      </c>
      <c r="B2" s="64" t="s">
        <v>624</v>
      </c>
      <c r="C2" s="64" t="s">
        <v>221</v>
      </c>
      <c r="D2">
        <v>11001</v>
      </c>
    </row>
    <row r="3" spans="1:12" x14ac:dyDescent="0.15">
      <c r="A3" t="s">
        <v>223</v>
      </c>
      <c r="B3" s="64" t="s">
        <v>624</v>
      </c>
      <c r="C3" s="64" t="s">
        <v>221</v>
      </c>
      <c r="D3" s="65">
        <v>11002</v>
      </c>
      <c r="G3" s="36"/>
      <c r="H3" s="36"/>
      <c r="I3" s="36"/>
    </row>
    <row r="4" spans="1:12" x14ac:dyDescent="0.15">
      <c r="A4" t="s">
        <v>224</v>
      </c>
      <c r="B4" s="64" t="s">
        <v>624</v>
      </c>
      <c r="C4" s="64" t="s">
        <v>221</v>
      </c>
      <c r="D4" s="65" t="s">
        <v>540</v>
      </c>
      <c r="G4" s="36"/>
      <c r="H4" s="36"/>
      <c r="I4" s="36"/>
    </row>
    <row r="5" spans="1:12" x14ac:dyDescent="0.15">
      <c r="A5" t="s">
        <v>225</v>
      </c>
      <c r="B5" s="64" t="s">
        <v>624</v>
      </c>
      <c r="C5" s="64" t="s">
        <v>221</v>
      </c>
      <c r="D5" s="65">
        <v>11004</v>
      </c>
      <c r="G5" s="64"/>
    </row>
    <row r="6" spans="1:12" x14ac:dyDescent="0.15">
      <c r="A6" t="s">
        <v>226</v>
      </c>
      <c r="B6" s="64" t="s">
        <v>624</v>
      </c>
      <c r="C6" s="64" t="s">
        <v>221</v>
      </c>
      <c r="D6" s="65">
        <v>11005</v>
      </c>
      <c r="G6" s="64"/>
      <c r="I6" s="64"/>
      <c r="J6" s="64"/>
      <c r="K6" s="64"/>
      <c r="L6" s="64"/>
    </row>
    <row r="7" spans="1:12" x14ac:dyDescent="0.15">
      <c r="A7" t="s">
        <v>227</v>
      </c>
      <c r="B7" s="64" t="s">
        <v>624</v>
      </c>
      <c r="C7" s="64" t="s">
        <v>221</v>
      </c>
      <c r="D7" s="65">
        <v>11006</v>
      </c>
      <c r="G7" s="64"/>
      <c r="I7" s="64"/>
      <c r="J7" s="64"/>
      <c r="K7" s="64"/>
      <c r="L7" s="64"/>
    </row>
    <row r="8" spans="1:12" x14ac:dyDescent="0.15">
      <c r="A8" t="s">
        <v>228</v>
      </c>
      <c r="B8" s="64" t="s">
        <v>624</v>
      </c>
      <c r="C8" s="64" t="s">
        <v>221</v>
      </c>
      <c r="D8" s="65">
        <v>11007</v>
      </c>
      <c r="G8" s="64"/>
    </row>
    <row r="9" spans="1:12" x14ac:dyDescent="0.15">
      <c r="A9" t="s">
        <v>229</v>
      </c>
      <c r="B9" s="64" t="s">
        <v>624</v>
      </c>
      <c r="C9" s="64" t="s">
        <v>221</v>
      </c>
      <c r="D9" s="65">
        <v>11008</v>
      </c>
    </row>
    <row r="10" spans="1:12" x14ac:dyDescent="0.15">
      <c r="A10" t="s">
        <v>230</v>
      </c>
      <c r="B10" s="64" t="s">
        <v>624</v>
      </c>
      <c r="C10" s="64" t="s">
        <v>221</v>
      </c>
      <c r="D10" s="65">
        <v>11009</v>
      </c>
    </row>
    <row r="11" spans="1:12" x14ac:dyDescent="0.15">
      <c r="A11" t="s">
        <v>231</v>
      </c>
      <c r="B11" s="64" t="s">
        <v>624</v>
      </c>
      <c r="C11" s="64" t="s">
        <v>221</v>
      </c>
      <c r="D11" s="65">
        <v>11010</v>
      </c>
    </row>
    <row r="12" spans="1:12" x14ac:dyDescent="0.15">
      <c r="A12" t="s">
        <v>321</v>
      </c>
      <c r="B12" s="64" t="s">
        <v>624</v>
      </c>
      <c r="C12" s="64" t="s">
        <v>221</v>
      </c>
      <c r="D12" s="65">
        <v>11011</v>
      </c>
      <c r="E12" t="s">
        <v>322</v>
      </c>
    </row>
    <row r="13" spans="1:12" s="64" customFormat="1" x14ac:dyDescent="0.15">
      <c r="A13" s="64" t="s">
        <v>324</v>
      </c>
      <c r="B13" s="64" t="s">
        <v>624</v>
      </c>
      <c r="C13" s="64" t="s">
        <v>325</v>
      </c>
      <c r="D13" s="64">
        <v>12001</v>
      </c>
      <c r="E13" s="64" t="s">
        <v>326</v>
      </c>
    </row>
    <row r="14" spans="1:12" x14ac:dyDescent="0.15">
      <c r="A14" t="s">
        <v>232</v>
      </c>
      <c r="B14" t="s">
        <v>291</v>
      </c>
      <c r="C14" t="s">
        <v>282</v>
      </c>
      <c r="D14" s="65">
        <v>21001</v>
      </c>
    </row>
    <row r="15" spans="1:12" x14ac:dyDescent="0.15">
      <c r="A15" t="s">
        <v>233</v>
      </c>
      <c r="B15" s="64" t="s">
        <v>291</v>
      </c>
      <c r="C15" t="s">
        <v>283</v>
      </c>
      <c r="D15" s="65">
        <v>21002</v>
      </c>
    </row>
    <row r="16" spans="1:12" x14ac:dyDescent="0.15">
      <c r="A16" t="s">
        <v>234</v>
      </c>
      <c r="B16" s="64" t="s">
        <v>291</v>
      </c>
      <c r="C16" t="s">
        <v>284</v>
      </c>
      <c r="D16" s="65">
        <v>21003</v>
      </c>
    </row>
    <row r="17" spans="1:5" x14ac:dyDescent="0.15">
      <c r="A17" t="s">
        <v>235</v>
      </c>
      <c r="B17" s="64" t="s">
        <v>291</v>
      </c>
      <c r="C17" t="s">
        <v>285</v>
      </c>
      <c r="D17" s="65">
        <v>21004</v>
      </c>
    </row>
    <row r="18" spans="1:5" x14ac:dyDescent="0.15">
      <c r="A18" t="s">
        <v>236</v>
      </c>
      <c r="B18" s="64" t="s">
        <v>291</v>
      </c>
      <c r="C18" t="s">
        <v>286</v>
      </c>
      <c r="D18" s="65">
        <v>21005</v>
      </c>
    </row>
    <row r="19" spans="1:5" x14ac:dyDescent="0.15">
      <c r="A19" t="s">
        <v>237</v>
      </c>
      <c r="B19" s="64" t="s">
        <v>291</v>
      </c>
      <c r="C19" t="s">
        <v>285</v>
      </c>
      <c r="D19" s="65">
        <v>21006</v>
      </c>
    </row>
    <row r="20" spans="1:5" x14ac:dyDescent="0.15">
      <c r="A20" t="s">
        <v>238</v>
      </c>
      <c r="B20" s="64" t="s">
        <v>291</v>
      </c>
      <c r="C20" t="s">
        <v>285</v>
      </c>
      <c r="D20" s="65">
        <v>21007</v>
      </c>
    </row>
    <row r="21" spans="1:5" x14ac:dyDescent="0.15">
      <c r="A21" t="s">
        <v>239</v>
      </c>
      <c r="B21" s="64" t="s">
        <v>291</v>
      </c>
      <c r="C21" t="s">
        <v>287</v>
      </c>
      <c r="D21" s="65">
        <v>21008</v>
      </c>
    </row>
    <row r="22" spans="1:5" x14ac:dyDescent="0.15">
      <c r="A22" t="s">
        <v>240</v>
      </c>
      <c r="B22" s="64" t="s">
        <v>291</v>
      </c>
      <c r="C22" t="s">
        <v>282</v>
      </c>
      <c r="D22" s="65">
        <v>21009</v>
      </c>
    </row>
    <row r="23" spans="1:5" s="72" customFormat="1" x14ac:dyDescent="0.15">
      <c r="A23" s="72" t="s">
        <v>538</v>
      </c>
      <c r="B23" s="72" t="s">
        <v>291</v>
      </c>
      <c r="C23" s="72" t="s">
        <v>282</v>
      </c>
      <c r="D23" s="65">
        <v>21010</v>
      </c>
      <c r="E23" s="65" t="s">
        <v>539</v>
      </c>
    </row>
    <row r="24" spans="1:5" x14ac:dyDescent="0.15">
      <c r="A24" t="s">
        <v>241</v>
      </c>
      <c r="B24" s="64" t="s">
        <v>291</v>
      </c>
      <c r="C24" t="s">
        <v>288</v>
      </c>
      <c r="D24" s="65">
        <v>22001</v>
      </c>
    </row>
    <row r="25" spans="1:5" x14ac:dyDescent="0.15">
      <c r="A25" t="s">
        <v>242</v>
      </c>
      <c r="B25" s="64" t="s">
        <v>291</v>
      </c>
      <c r="C25" t="s">
        <v>289</v>
      </c>
      <c r="D25" s="65">
        <v>22002</v>
      </c>
    </row>
    <row r="26" spans="1:5" x14ac:dyDescent="0.15">
      <c r="A26" t="s">
        <v>243</v>
      </c>
      <c r="B26" s="64" t="s">
        <v>291</v>
      </c>
      <c r="C26" t="s">
        <v>288</v>
      </c>
      <c r="D26" s="65">
        <v>22003</v>
      </c>
    </row>
    <row r="27" spans="1:5" x14ac:dyDescent="0.15">
      <c r="A27" t="s">
        <v>244</v>
      </c>
      <c r="B27" s="64" t="s">
        <v>291</v>
      </c>
      <c r="C27" t="s">
        <v>288</v>
      </c>
      <c r="D27" s="65">
        <v>22004</v>
      </c>
    </row>
    <row r="28" spans="1:5" x14ac:dyDescent="0.15">
      <c r="A28" t="s">
        <v>245</v>
      </c>
      <c r="B28" s="64" t="s">
        <v>291</v>
      </c>
      <c r="C28" t="s">
        <v>290</v>
      </c>
      <c r="D28" s="65">
        <v>22005</v>
      </c>
    </row>
    <row r="29" spans="1:5" x14ac:dyDescent="0.15">
      <c r="A29" t="s">
        <v>246</v>
      </c>
      <c r="B29" s="64" t="s">
        <v>291</v>
      </c>
      <c r="C29" t="s">
        <v>290</v>
      </c>
      <c r="D29" s="65">
        <v>22006</v>
      </c>
    </row>
    <row r="30" spans="1:5" x14ac:dyDescent="0.15">
      <c r="A30" t="s">
        <v>247</v>
      </c>
      <c r="B30" s="64" t="s">
        <v>291</v>
      </c>
      <c r="C30" t="s">
        <v>289</v>
      </c>
      <c r="D30" s="65">
        <v>22007</v>
      </c>
    </row>
    <row r="31" spans="1:5" x14ac:dyDescent="0.15">
      <c r="A31" t="s">
        <v>248</v>
      </c>
      <c r="B31" s="64" t="s">
        <v>291</v>
      </c>
      <c r="C31" t="s">
        <v>288</v>
      </c>
      <c r="D31" s="65">
        <v>22008</v>
      </c>
    </row>
    <row r="32" spans="1:5" x14ac:dyDescent="0.15">
      <c r="A32" t="s">
        <v>249</v>
      </c>
      <c r="B32" s="64" t="s">
        <v>291</v>
      </c>
      <c r="C32" t="s">
        <v>288</v>
      </c>
      <c r="D32" s="65">
        <v>22009</v>
      </c>
    </row>
    <row r="33" spans="1:4" x14ac:dyDescent="0.15">
      <c r="A33" t="s">
        <v>250</v>
      </c>
      <c r="B33" s="64" t="s">
        <v>291</v>
      </c>
      <c r="C33" t="s">
        <v>290</v>
      </c>
      <c r="D33" s="65">
        <v>22010</v>
      </c>
    </row>
    <row r="34" spans="1:4" x14ac:dyDescent="0.15">
      <c r="A34" t="s">
        <v>251</v>
      </c>
      <c r="B34" s="64" t="s">
        <v>291</v>
      </c>
      <c r="C34" t="s">
        <v>288</v>
      </c>
      <c r="D34" s="65">
        <v>22011</v>
      </c>
    </row>
    <row r="35" spans="1:4" x14ac:dyDescent="0.15">
      <c r="A35" t="s">
        <v>252</v>
      </c>
      <c r="B35" s="64" t="s">
        <v>291</v>
      </c>
      <c r="C35" t="s">
        <v>289</v>
      </c>
      <c r="D35" s="65">
        <v>22012</v>
      </c>
    </row>
    <row r="36" spans="1:4" x14ac:dyDescent="0.15">
      <c r="A36" t="s">
        <v>253</v>
      </c>
      <c r="B36" s="64" t="s">
        <v>291</v>
      </c>
      <c r="C36" t="s">
        <v>289</v>
      </c>
      <c r="D36" s="65">
        <v>22013</v>
      </c>
    </row>
    <row r="37" spans="1:4" x14ac:dyDescent="0.15">
      <c r="A37" t="s">
        <v>254</v>
      </c>
      <c r="B37" s="64" t="s">
        <v>291</v>
      </c>
      <c r="C37" t="s">
        <v>288</v>
      </c>
      <c r="D37" s="65">
        <v>22014</v>
      </c>
    </row>
    <row r="38" spans="1:4" x14ac:dyDescent="0.15">
      <c r="A38" t="s">
        <v>255</v>
      </c>
      <c r="B38" s="64" t="s">
        <v>291</v>
      </c>
      <c r="C38" t="s">
        <v>288</v>
      </c>
      <c r="D38" s="65">
        <v>22015</v>
      </c>
    </row>
    <row r="39" spans="1:4" x14ac:dyDescent="0.15">
      <c r="A39" t="s">
        <v>256</v>
      </c>
      <c r="B39" s="64" t="s">
        <v>291</v>
      </c>
      <c r="C39" t="s">
        <v>289</v>
      </c>
      <c r="D39" s="65">
        <v>22016</v>
      </c>
    </row>
    <row r="40" spans="1:4" x14ac:dyDescent="0.15">
      <c r="A40" t="s">
        <v>257</v>
      </c>
      <c r="B40" s="64" t="s">
        <v>291</v>
      </c>
      <c r="C40" t="s">
        <v>288</v>
      </c>
      <c r="D40" s="65">
        <v>22017</v>
      </c>
    </row>
    <row r="41" spans="1:4" x14ac:dyDescent="0.15">
      <c r="A41" t="s">
        <v>258</v>
      </c>
      <c r="B41" s="64" t="s">
        <v>291</v>
      </c>
      <c r="C41" t="s">
        <v>288</v>
      </c>
      <c r="D41" s="65">
        <v>22018</v>
      </c>
    </row>
    <row r="42" spans="1:4" x14ac:dyDescent="0.15">
      <c r="A42" t="s">
        <v>259</v>
      </c>
      <c r="B42" s="64" t="s">
        <v>291</v>
      </c>
      <c r="C42" t="s">
        <v>290</v>
      </c>
      <c r="D42" s="65">
        <v>22019</v>
      </c>
    </row>
    <row r="43" spans="1:4" x14ac:dyDescent="0.15">
      <c r="A43" t="s">
        <v>260</v>
      </c>
      <c r="B43" s="64" t="s">
        <v>291</v>
      </c>
      <c r="C43" t="s">
        <v>290</v>
      </c>
      <c r="D43" s="65">
        <v>22020</v>
      </c>
    </row>
    <row r="44" spans="1:4" x14ac:dyDescent="0.15">
      <c r="A44" t="s">
        <v>261</v>
      </c>
      <c r="B44" s="64" t="s">
        <v>291</v>
      </c>
      <c r="C44" t="s">
        <v>288</v>
      </c>
      <c r="D44" s="65">
        <v>22021</v>
      </c>
    </row>
    <row r="45" spans="1:4" x14ac:dyDescent="0.15">
      <c r="A45" t="s">
        <v>327</v>
      </c>
      <c r="B45" s="64" t="s">
        <v>291</v>
      </c>
      <c r="C45" t="s">
        <v>289</v>
      </c>
      <c r="D45" s="65">
        <v>22022</v>
      </c>
    </row>
    <row r="46" spans="1:4" s="68" customFormat="1" x14ac:dyDescent="0.15">
      <c r="A46" s="68" t="s">
        <v>333</v>
      </c>
      <c r="B46" s="68" t="s">
        <v>291</v>
      </c>
      <c r="C46" s="68" t="s">
        <v>289</v>
      </c>
      <c r="D46" s="65">
        <v>22023</v>
      </c>
    </row>
    <row r="47" spans="1:4" x14ac:dyDescent="0.15">
      <c r="A47" t="s">
        <v>262</v>
      </c>
      <c r="B47" s="64" t="s">
        <v>291</v>
      </c>
      <c r="C47" t="s">
        <v>280</v>
      </c>
      <c r="D47" s="65">
        <v>23001</v>
      </c>
    </row>
    <row r="48" spans="1:4" x14ac:dyDescent="0.15">
      <c r="A48" t="s">
        <v>263</v>
      </c>
      <c r="B48" s="64" t="s">
        <v>291</v>
      </c>
      <c r="C48" t="s">
        <v>280</v>
      </c>
      <c r="D48" s="65">
        <v>23002</v>
      </c>
    </row>
    <row r="49" spans="1:5" x14ac:dyDescent="0.15">
      <c r="A49" t="s">
        <v>264</v>
      </c>
      <c r="B49" s="64" t="s">
        <v>291</v>
      </c>
      <c r="C49" t="s">
        <v>281</v>
      </c>
      <c r="D49" s="65">
        <v>23003</v>
      </c>
    </row>
    <row r="50" spans="1:5" x14ac:dyDescent="0.15">
      <c r="A50" t="s">
        <v>265</v>
      </c>
      <c r="B50" s="64" t="s">
        <v>291</v>
      </c>
      <c r="C50" t="s">
        <v>280</v>
      </c>
      <c r="D50" s="65">
        <v>23004</v>
      </c>
    </row>
    <row r="51" spans="1:5" x14ac:dyDescent="0.15">
      <c r="A51" t="s">
        <v>266</v>
      </c>
      <c r="B51" s="64" t="s">
        <v>291</v>
      </c>
      <c r="C51" t="s">
        <v>280</v>
      </c>
      <c r="D51" s="65">
        <v>23005</v>
      </c>
    </row>
    <row r="52" spans="1:5" x14ac:dyDescent="0.15">
      <c r="A52" t="s">
        <v>267</v>
      </c>
      <c r="B52" s="64" t="s">
        <v>291</v>
      </c>
      <c r="C52" t="s">
        <v>280</v>
      </c>
      <c r="D52" s="65">
        <v>23006</v>
      </c>
    </row>
    <row r="53" spans="1:5" x14ac:dyDescent="0.15">
      <c r="A53" t="s">
        <v>268</v>
      </c>
      <c r="B53" s="64" t="s">
        <v>291</v>
      </c>
      <c r="C53" t="s">
        <v>280</v>
      </c>
      <c r="D53" s="65">
        <v>23007</v>
      </c>
    </row>
    <row r="54" spans="1:5" x14ac:dyDescent="0.15">
      <c r="A54" t="s">
        <v>269</v>
      </c>
      <c r="B54" s="64" t="s">
        <v>291</v>
      </c>
      <c r="C54" t="s">
        <v>280</v>
      </c>
      <c r="D54" s="65">
        <v>23008</v>
      </c>
    </row>
    <row r="55" spans="1:5" x14ac:dyDescent="0.15">
      <c r="A55" t="s">
        <v>271</v>
      </c>
      <c r="B55" s="64" t="s">
        <v>291</v>
      </c>
      <c r="C55" s="64" t="s">
        <v>270</v>
      </c>
      <c r="D55" s="65">
        <v>24001</v>
      </c>
    </row>
    <row r="56" spans="1:5" x14ac:dyDescent="0.15">
      <c r="A56" t="s">
        <v>272</v>
      </c>
      <c r="B56" s="64" t="s">
        <v>291</v>
      </c>
      <c r="C56" s="64" t="s">
        <v>270</v>
      </c>
      <c r="D56" s="65">
        <v>24002</v>
      </c>
    </row>
    <row r="57" spans="1:5" x14ac:dyDescent="0.15">
      <c r="A57" t="s">
        <v>273</v>
      </c>
      <c r="B57" s="64" t="s">
        <v>291</v>
      </c>
      <c r="C57" s="64" t="s">
        <v>270</v>
      </c>
      <c r="D57" s="65">
        <v>24003</v>
      </c>
    </row>
    <row r="58" spans="1:5" x14ac:dyDescent="0.15">
      <c r="A58" t="s">
        <v>274</v>
      </c>
      <c r="B58" s="64" t="s">
        <v>291</v>
      </c>
      <c r="C58" s="64" t="s">
        <v>270</v>
      </c>
      <c r="D58" s="65">
        <v>24004</v>
      </c>
    </row>
    <row r="59" spans="1:5" x14ac:dyDescent="0.15">
      <c r="A59" t="s">
        <v>275</v>
      </c>
      <c r="B59" s="64" t="s">
        <v>291</v>
      </c>
      <c r="C59" s="64" t="s">
        <v>270</v>
      </c>
      <c r="D59" s="65">
        <v>24005</v>
      </c>
    </row>
    <row r="60" spans="1:5" x14ac:dyDescent="0.15">
      <c r="A60" t="s">
        <v>276</v>
      </c>
      <c r="B60" t="s">
        <v>291</v>
      </c>
      <c r="C60" t="s">
        <v>270</v>
      </c>
      <c r="D60" s="65">
        <v>24006</v>
      </c>
    </row>
    <row r="61" spans="1:5" s="70" customFormat="1" x14ac:dyDescent="0.15">
      <c r="A61" s="70" t="s">
        <v>428</v>
      </c>
      <c r="B61" s="70" t="s">
        <v>291</v>
      </c>
      <c r="C61" s="70" t="s">
        <v>427</v>
      </c>
      <c r="D61" s="70">
        <v>25001</v>
      </c>
      <c r="E61" s="70" t="s">
        <v>426</v>
      </c>
    </row>
    <row r="62" spans="1:5" x14ac:dyDescent="0.15">
      <c r="A62" t="s">
        <v>297</v>
      </c>
      <c r="B62" s="64" t="s">
        <v>319</v>
      </c>
      <c r="C62" t="s">
        <v>314</v>
      </c>
      <c r="D62" s="65">
        <v>31001</v>
      </c>
    </row>
    <row r="63" spans="1:5" x14ac:dyDescent="0.15">
      <c r="A63" t="s">
        <v>298</v>
      </c>
      <c r="B63" s="64" t="s">
        <v>319</v>
      </c>
      <c r="C63" t="s">
        <v>315</v>
      </c>
      <c r="D63" s="65">
        <v>31002</v>
      </c>
    </row>
    <row r="64" spans="1:5" x14ac:dyDescent="0.15">
      <c r="A64" t="s">
        <v>299</v>
      </c>
      <c r="B64" s="64" t="s">
        <v>319</v>
      </c>
      <c r="C64" t="s">
        <v>316</v>
      </c>
      <c r="D64" s="65">
        <v>31003</v>
      </c>
    </row>
    <row r="65" spans="1:4" x14ac:dyDescent="0.15">
      <c r="A65" t="s">
        <v>300</v>
      </c>
      <c r="B65" s="64" t="s">
        <v>319</v>
      </c>
      <c r="C65" t="s">
        <v>315</v>
      </c>
      <c r="D65" s="65">
        <v>31004</v>
      </c>
    </row>
    <row r="66" spans="1:4" x14ac:dyDescent="0.15">
      <c r="A66" t="s">
        <v>301</v>
      </c>
      <c r="B66" s="64" t="s">
        <v>319</v>
      </c>
      <c r="C66" t="s">
        <v>317</v>
      </c>
      <c r="D66" s="65">
        <v>31005</v>
      </c>
    </row>
    <row r="67" spans="1:4" x14ac:dyDescent="0.15">
      <c r="A67" t="s">
        <v>302</v>
      </c>
      <c r="B67" s="64" t="s">
        <v>319</v>
      </c>
      <c r="C67" t="s">
        <v>316</v>
      </c>
      <c r="D67" s="65">
        <v>31006</v>
      </c>
    </row>
    <row r="68" spans="1:4" x14ac:dyDescent="0.15">
      <c r="A68" t="s">
        <v>303</v>
      </c>
      <c r="B68" s="64" t="s">
        <v>319</v>
      </c>
      <c r="C68" t="s">
        <v>316</v>
      </c>
      <c r="D68" s="65">
        <v>31007</v>
      </c>
    </row>
    <row r="69" spans="1:4" x14ac:dyDescent="0.15">
      <c r="A69" t="s">
        <v>304</v>
      </c>
      <c r="B69" s="64" t="s">
        <v>319</v>
      </c>
      <c r="C69" t="s">
        <v>318</v>
      </c>
      <c r="D69" s="65">
        <v>32001</v>
      </c>
    </row>
    <row r="70" spans="1:4" x14ac:dyDescent="0.15">
      <c r="A70" t="s">
        <v>305</v>
      </c>
      <c r="B70" s="64" t="s">
        <v>319</v>
      </c>
      <c r="C70" t="s">
        <v>318</v>
      </c>
      <c r="D70" s="65">
        <v>32002</v>
      </c>
    </row>
    <row r="71" spans="1:4" x14ac:dyDescent="0.15">
      <c r="A71" t="s">
        <v>306</v>
      </c>
      <c r="B71" s="64" t="s">
        <v>319</v>
      </c>
      <c r="C71" t="s">
        <v>280</v>
      </c>
      <c r="D71" s="65">
        <v>33001</v>
      </c>
    </row>
    <row r="72" spans="1:4" x14ac:dyDescent="0.15">
      <c r="A72" t="s">
        <v>307</v>
      </c>
      <c r="B72" s="64" t="s">
        <v>319</v>
      </c>
      <c r="C72" t="s">
        <v>280</v>
      </c>
      <c r="D72" s="65">
        <v>33002</v>
      </c>
    </row>
    <row r="73" spans="1:4" x14ac:dyDescent="0.15">
      <c r="A73" t="s">
        <v>308</v>
      </c>
      <c r="B73" s="64" t="s">
        <v>319</v>
      </c>
      <c r="C73" t="s">
        <v>280</v>
      </c>
      <c r="D73" s="65">
        <v>33003</v>
      </c>
    </row>
    <row r="74" spans="1:4" x14ac:dyDescent="0.15">
      <c r="A74" t="s">
        <v>309</v>
      </c>
      <c r="B74" s="64" t="s">
        <v>319</v>
      </c>
      <c r="C74" t="s">
        <v>280</v>
      </c>
      <c r="D74" s="65">
        <v>33004</v>
      </c>
    </row>
    <row r="75" spans="1:4" x14ac:dyDescent="0.15">
      <c r="A75" t="s">
        <v>310</v>
      </c>
      <c r="B75" s="64" t="s">
        <v>319</v>
      </c>
      <c r="C75" t="s">
        <v>280</v>
      </c>
      <c r="D75" s="65">
        <v>33005</v>
      </c>
    </row>
    <row r="76" spans="1:4" x14ac:dyDescent="0.15">
      <c r="A76" t="s">
        <v>207</v>
      </c>
      <c r="B76" s="64" t="s">
        <v>319</v>
      </c>
      <c r="C76" t="s">
        <v>280</v>
      </c>
      <c r="D76" s="65">
        <v>33006</v>
      </c>
    </row>
    <row r="77" spans="1:4" x14ac:dyDescent="0.15">
      <c r="A77" t="s">
        <v>312</v>
      </c>
      <c r="B77" s="64" t="s">
        <v>319</v>
      </c>
      <c r="C77" s="64" t="s">
        <v>311</v>
      </c>
      <c r="D77" s="65">
        <v>34001</v>
      </c>
    </row>
    <row r="78" spans="1:4" x14ac:dyDescent="0.15">
      <c r="A78" s="66" t="s">
        <v>313</v>
      </c>
      <c r="B78" s="66" t="s">
        <v>319</v>
      </c>
      <c r="C78" s="66" t="s">
        <v>311</v>
      </c>
      <c r="D78" s="65">
        <v>34002</v>
      </c>
    </row>
  </sheetData>
  <autoFilter ref="A1:E77">
    <sortState ref="A2:E75">
      <sortCondition ref="D1:D74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workbookViewId="0">
      <selection activeCell="B10" sqref="B10"/>
    </sheetView>
  </sheetViews>
  <sheetFormatPr defaultRowHeight="13.5" x14ac:dyDescent="0.15"/>
  <cols>
    <col min="1" max="1" width="10.25" bestFit="1" customWidth="1"/>
    <col min="2" max="2" width="12.25" bestFit="1" customWidth="1"/>
    <col min="3" max="4" width="8.5" bestFit="1" customWidth="1"/>
    <col min="5" max="5" width="9.5" bestFit="1" customWidth="1"/>
    <col min="7" max="7" width="12.125" bestFit="1" customWidth="1"/>
  </cols>
  <sheetData>
    <row r="1" spans="1:19" s="63" customFormat="1" x14ac:dyDescent="0.15">
      <c r="A1" s="63" t="s">
        <v>205</v>
      </c>
      <c r="B1" s="63" t="s">
        <v>202</v>
      </c>
      <c r="C1" s="63" t="s">
        <v>203</v>
      </c>
      <c r="D1" s="63" t="s">
        <v>204</v>
      </c>
      <c r="E1" s="63" t="s">
        <v>213</v>
      </c>
      <c r="F1" s="63" t="s">
        <v>206</v>
      </c>
      <c r="G1" s="63" t="s">
        <v>207</v>
      </c>
      <c r="H1" s="63" t="s">
        <v>214</v>
      </c>
      <c r="I1" s="63" t="s">
        <v>215</v>
      </c>
      <c r="J1" s="63" t="s">
        <v>208</v>
      </c>
      <c r="K1" s="63" t="s">
        <v>209</v>
      </c>
      <c r="L1" s="63" t="s">
        <v>210</v>
      </c>
      <c r="M1" s="63" t="s">
        <v>211</v>
      </c>
      <c r="N1" s="63" t="s">
        <v>216</v>
      </c>
      <c r="O1" s="63" t="s">
        <v>212</v>
      </c>
      <c r="P1" s="63" t="s">
        <v>217</v>
      </c>
      <c r="Q1" s="63" t="s">
        <v>218</v>
      </c>
      <c r="R1" s="63" t="s">
        <v>219</v>
      </c>
      <c r="S1" s="65" t="s">
        <v>220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"/>
  <sheetViews>
    <sheetView workbookViewId="0">
      <selection activeCell="B21" sqref="B21"/>
    </sheetView>
  </sheetViews>
  <sheetFormatPr defaultRowHeight="13.5" x14ac:dyDescent="0.15"/>
  <cols>
    <col min="1" max="1" width="5.25" bestFit="1" customWidth="1"/>
    <col min="2" max="2" width="46.625" bestFit="1" customWidth="1"/>
  </cols>
  <sheetData>
    <row r="1" spans="1:2" x14ac:dyDescent="0.15">
      <c r="A1" s="39" t="s">
        <v>51</v>
      </c>
      <c r="B1" s="39" t="s">
        <v>52</v>
      </c>
    </row>
    <row r="2" spans="1:2" x14ac:dyDescent="0.15">
      <c r="A2" s="39">
        <v>1</v>
      </c>
      <c r="B2" s="41" t="s">
        <v>53</v>
      </c>
    </row>
    <row r="3" spans="1:2" x14ac:dyDescent="0.15">
      <c r="A3" s="39">
        <v>2</v>
      </c>
      <c r="B3" s="41" t="s">
        <v>54</v>
      </c>
    </row>
    <row r="4" spans="1:2" x14ac:dyDescent="0.15">
      <c r="A4" s="39">
        <v>3</v>
      </c>
      <c r="B4" s="41" t="s">
        <v>55</v>
      </c>
    </row>
    <row r="5" spans="1:2" x14ac:dyDescent="0.15">
      <c r="A5" s="39">
        <v>4</v>
      </c>
      <c r="B5" s="41" t="s">
        <v>56</v>
      </c>
    </row>
    <row r="6" spans="1:2" x14ac:dyDescent="0.15">
      <c r="A6" s="39">
        <v>5</v>
      </c>
      <c r="B6" s="41" t="s">
        <v>57</v>
      </c>
    </row>
    <row r="7" spans="1:2" x14ac:dyDescent="0.15">
      <c r="A7" s="39">
        <v>6</v>
      </c>
      <c r="B7" s="41" t="s">
        <v>58</v>
      </c>
    </row>
    <row r="8" spans="1:2" x14ac:dyDescent="0.15">
      <c r="A8" s="39">
        <v>7</v>
      </c>
      <c r="B8" s="41" t="s">
        <v>59</v>
      </c>
    </row>
    <row r="9" spans="1:2" x14ac:dyDescent="0.15">
      <c r="A9" s="39">
        <v>8</v>
      </c>
      <c r="B9" s="41" t="s">
        <v>60</v>
      </c>
    </row>
    <row r="10" spans="1:2" x14ac:dyDescent="0.15">
      <c r="A10" s="39">
        <v>9</v>
      </c>
      <c r="B10" s="41" t="s">
        <v>61</v>
      </c>
    </row>
    <row r="11" spans="1:2" x14ac:dyDescent="0.15">
      <c r="A11" s="39">
        <v>10</v>
      </c>
      <c r="B11" s="41" t="s">
        <v>62</v>
      </c>
    </row>
    <row r="12" spans="1:2" x14ac:dyDescent="0.15">
      <c r="A12" s="39">
        <v>11</v>
      </c>
      <c r="B12" s="41" t="s">
        <v>63</v>
      </c>
    </row>
    <row r="13" spans="1:2" x14ac:dyDescent="0.15">
      <c r="A13" s="39">
        <v>12</v>
      </c>
      <c r="B13" s="41" t="s">
        <v>64</v>
      </c>
    </row>
  </sheetData>
  <phoneticPr fontId="1" type="noConversion"/>
  <hyperlinks>
    <hyperlink ref="B13" location="'附表⒎以公允价值计量资产纳税调整表'!A1" display="附表⒎以公允价值计量资产纳税调整表"/>
    <hyperlink ref="B12" location="'附表⒍境外所得税抵免计算明细表'!A1" display="附表⒍境外所得税抵免计算明细表"/>
    <hyperlink ref="B11" location="'附表⒌税收优惠明细表'!A1" display="附表⒌税收优惠明细表"/>
    <hyperlink ref="B10" location="'附表⒋企业所得税弥补亏损明细表'!A1" display="附表⒋企业所得税弥补亏损明细表"/>
    <hyperlink ref="B9" location="'附表⒊纳税调整项目明细表'!A1" display="附表⒊纳税调整项目明细表"/>
    <hyperlink ref="B8" location="'附表⒉成本费用明细表'!A1" display="附表⒉成本费用明细表"/>
    <hyperlink ref="B7" location="'附表⒈收入明细表'!A1" display="附表⒈收入明细表"/>
    <hyperlink ref="B5" location="'表⒋所有者权益变动表'!A1" display="表⒋所有者权益变动表"/>
    <hyperlink ref="B4" location="'表⒊现金流量表'!A1" display="表⒊现金流量表"/>
    <hyperlink ref="B3" location="'表⒉利润表'!A1" display="表⒉利润表"/>
    <hyperlink ref="B2" location="'表⒈资产负债表'!A1" display="表⒈资产负债表"/>
    <hyperlink ref="B6" location="'企业所得税年度纳税申报表（A类）'!A1" display="企业所得税年度纳税申报表（A类）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0"/>
  <sheetViews>
    <sheetView defaultGridColor="0" topLeftCell="A58" colorId="21" workbookViewId="0">
      <selection activeCell="G24" sqref="G24"/>
    </sheetView>
  </sheetViews>
  <sheetFormatPr defaultRowHeight="13.5" x14ac:dyDescent="0.15"/>
  <cols>
    <col min="1" max="1" width="17.25" bestFit="1" customWidth="1"/>
    <col min="2" max="2" width="22.125" customWidth="1"/>
    <col min="3" max="3" width="11.25" bestFit="1" customWidth="1"/>
    <col min="4" max="4" width="15" bestFit="1" customWidth="1"/>
    <col min="5" max="5" width="12.75" bestFit="1" customWidth="1"/>
    <col min="6" max="6" width="10.5" bestFit="1" customWidth="1"/>
    <col min="7" max="7" width="18.375" bestFit="1" customWidth="1"/>
  </cols>
  <sheetData>
    <row r="1" spans="1:7" x14ac:dyDescent="0.15">
      <c r="A1" t="s">
        <v>2</v>
      </c>
      <c r="B1" t="s">
        <v>3</v>
      </c>
      <c r="D1">
        <v>1</v>
      </c>
      <c r="E1" t="str">
        <f>CHAR(D1+64)</f>
        <v>A</v>
      </c>
      <c r="G1" s="55"/>
    </row>
    <row r="2" spans="1:7" x14ac:dyDescent="0.15">
      <c r="A2" t="s">
        <v>1</v>
      </c>
      <c r="B2" t="s">
        <v>4</v>
      </c>
      <c r="D2" t="s">
        <v>0</v>
      </c>
      <c r="E2">
        <f>CODE(D2)</f>
        <v>65</v>
      </c>
    </row>
    <row r="3" spans="1:7" x14ac:dyDescent="0.15">
      <c r="D3" s="32">
        <v>72</v>
      </c>
    </row>
    <row r="4" spans="1:7" s="51" customFormat="1" x14ac:dyDescent="0.15">
      <c r="D4" s="52"/>
      <c r="E4" s="32"/>
    </row>
    <row r="5" spans="1:7" s="51" customFormat="1" x14ac:dyDescent="0.15">
      <c r="B5" s="32" t="str">
        <f>IF(C5="",B4,C5)</f>
        <v>拆分合并</v>
      </c>
      <c r="C5" t="s">
        <v>41</v>
      </c>
      <c r="D5" s="51" t="s">
        <v>168</v>
      </c>
      <c r="E5" s="32"/>
    </row>
    <row r="6" spans="1:7" s="51" customFormat="1" x14ac:dyDescent="0.15">
      <c r="B6" s="32" t="str">
        <f>IF(C6="",B5,C6)</f>
        <v>拆分合并</v>
      </c>
      <c r="D6" s="52"/>
      <c r="E6" s="32"/>
    </row>
    <row r="7" spans="1:7" s="51" customFormat="1" x14ac:dyDescent="0.15">
      <c r="B7" s="32"/>
      <c r="D7" s="52"/>
      <c r="E7" s="32"/>
    </row>
    <row r="8" spans="1:7" s="73" customFormat="1" x14ac:dyDescent="0.15">
      <c r="B8" s="52"/>
      <c r="D8" s="52"/>
      <c r="E8" s="32"/>
    </row>
    <row r="9" spans="1:7" s="73" customFormat="1" ht="14.25" thickBot="1" x14ac:dyDescent="0.2">
      <c r="A9" s="73" t="s">
        <v>599</v>
      </c>
      <c r="B9" s="52"/>
      <c r="D9" s="52" t="s">
        <v>598</v>
      </c>
      <c r="E9" s="32"/>
    </row>
    <row r="10" spans="1:7" s="73" customFormat="1" ht="14.25" thickTop="1" x14ac:dyDescent="0.15">
      <c r="A10" s="74" t="s">
        <v>587</v>
      </c>
      <c r="B10" s="74" t="s">
        <v>588</v>
      </c>
      <c r="C10" s="74" t="s">
        <v>589</v>
      </c>
      <c r="D10" s="52"/>
      <c r="E10" s="32"/>
    </row>
    <row r="11" spans="1:7" s="73" customFormat="1" x14ac:dyDescent="0.15">
      <c r="A11" s="75" t="s">
        <v>590</v>
      </c>
      <c r="B11" s="75" t="s">
        <v>591</v>
      </c>
      <c r="C11" s="75">
        <v>20140710001</v>
      </c>
      <c r="D11" s="52"/>
      <c r="E11" s="32"/>
    </row>
    <row r="12" spans="1:7" s="73" customFormat="1" x14ac:dyDescent="0.15">
      <c r="A12" s="75" t="s">
        <v>592</v>
      </c>
      <c r="B12" s="75" t="s">
        <v>593</v>
      </c>
      <c r="C12" s="75">
        <v>20140710005</v>
      </c>
      <c r="D12" s="52"/>
      <c r="E12" s="32"/>
    </row>
    <row r="13" spans="1:7" s="73" customFormat="1" x14ac:dyDescent="0.15">
      <c r="A13" s="75" t="s">
        <v>594</v>
      </c>
      <c r="B13" s="75" t="s">
        <v>595</v>
      </c>
      <c r="C13" s="75">
        <v>20140710011</v>
      </c>
      <c r="D13" s="52"/>
      <c r="E13" s="32"/>
    </row>
    <row r="14" spans="1:7" s="73" customFormat="1" x14ac:dyDescent="0.15">
      <c r="A14" s="75" t="s">
        <v>596</v>
      </c>
      <c r="B14" s="75" t="s">
        <v>597</v>
      </c>
      <c r="C14" s="75">
        <v>20141110014</v>
      </c>
      <c r="D14" s="52"/>
      <c r="E14" s="32"/>
    </row>
    <row r="15" spans="1:7" s="73" customFormat="1" x14ac:dyDescent="0.15">
      <c r="B15" s="52"/>
      <c r="D15" s="52"/>
      <c r="E15" s="32"/>
    </row>
    <row r="16" spans="1:7" s="73" customFormat="1" x14ac:dyDescent="0.15">
      <c r="B16" s="52"/>
      <c r="D16" s="52"/>
      <c r="E16" s="32"/>
    </row>
    <row r="17" spans="1:12" s="73" customFormat="1" x14ac:dyDescent="0.15">
      <c r="B17" s="52"/>
      <c r="D17" s="52"/>
      <c r="E17" s="32"/>
    </row>
    <row r="18" spans="1:12" s="73" customFormat="1" x14ac:dyDescent="0.15">
      <c r="B18" s="52"/>
      <c r="D18" s="52"/>
      <c r="E18" s="32"/>
    </row>
    <row r="19" spans="1:12" s="73" customFormat="1" x14ac:dyDescent="0.15">
      <c r="B19" s="52"/>
      <c r="D19" s="52"/>
      <c r="E19" s="32"/>
    </row>
    <row r="20" spans="1:12" s="51" customFormat="1" x14ac:dyDescent="0.15">
      <c r="A20" s="51" t="s">
        <v>169</v>
      </c>
      <c r="D20" s="52"/>
      <c r="E20" s="32"/>
    </row>
    <row r="21" spans="1:12" s="51" customFormat="1" x14ac:dyDescent="0.15">
      <c r="A21" s="51" t="s">
        <v>622</v>
      </c>
      <c r="B21" s="53">
        <v>-1837800</v>
      </c>
      <c r="D21" s="52"/>
      <c r="E21" s="32"/>
    </row>
    <row r="22" spans="1:12" s="51" customFormat="1" x14ac:dyDescent="0.15">
      <c r="D22" s="52"/>
      <c r="E22" s="52"/>
    </row>
    <row r="23" spans="1:12" x14ac:dyDescent="0.15">
      <c r="D23" s="5">
        <v>160100012747</v>
      </c>
      <c r="E23" s="12">
        <v>2</v>
      </c>
      <c r="F23" s="7">
        <v>1</v>
      </c>
      <c r="G23" s="11" t="str">
        <f>D23&amp;"-"&amp;F23&amp;"/"&amp;E23</f>
        <v>160100012747-1/2</v>
      </c>
    </row>
    <row r="24" spans="1:12" x14ac:dyDescent="0.15">
      <c r="D24" s="5">
        <v>160100012747</v>
      </c>
      <c r="E24" s="13">
        <v>2</v>
      </c>
      <c r="F24" s="7">
        <f>IF(D24=D23,F23+1,1)</f>
        <v>2</v>
      </c>
      <c r="G24" s="11" t="str">
        <f t="shared" ref="G24:G39" si="0">D24&amp;"-"&amp;F24&amp;"/"&amp;E24</f>
        <v>160100012747-2/2</v>
      </c>
    </row>
    <row r="25" spans="1:12" x14ac:dyDescent="0.15">
      <c r="D25" s="5">
        <v>160100012748</v>
      </c>
      <c r="E25" s="15">
        <v>53366670916</v>
      </c>
      <c r="F25" s="7">
        <f t="shared" ref="F25:F39" si="1">IF(D25=D24,F24+1,1)</f>
        <v>1</v>
      </c>
      <c r="G25" s="11" t="str">
        <f t="shared" si="0"/>
        <v>160100012748-1/53366670916</v>
      </c>
    </row>
    <row r="26" spans="1:12" x14ac:dyDescent="0.15">
      <c r="D26" s="5">
        <v>160100012748</v>
      </c>
      <c r="E26" s="14">
        <v>53366670916</v>
      </c>
      <c r="F26" s="7">
        <f t="shared" si="1"/>
        <v>2</v>
      </c>
      <c r="G26" s="11" t="str">
        <f t="shared" si="0"/>
        <v>160100012748-2/53366670916</v>
      </c>
    </row>
    <row r="27" spans="1:12" x14ac:dyDescent="0.15">
      <c r="D27" s="5">
        <v>160100012748</v>
      </c>
      <c r="E27" s="13">
        <v>53366670916</v>
      </c>
      <c r="F27" s="7">
        <f t="shared" si="1"/>
        <v>3</v>
      </c>
      <c r="G27" s="11" t="str">
        <f t="shared" si="0"/>
        <v>160100012748-3/53366670916</v>
      </c>
      <c r="H27" s="11"/>
    </row>
    <row r="28" spans="1:12" x14ac:dyDescent="0.15">
      <c r="B28" s="54"/>
      <c r="D28" s="6">
        <v>160100014000</v>
      </c>
      <c r="E28" s="81">
        <v>36</v>
      </c>
      <c r="F28" s="7">
        <f t="shared" si="1"/>
        <v>1</v>
      </c>
      <c r="G28" s="11" t="str">
        <f t="shared" si="0"/>
        <v>160100014000-1/36</v>
      </c>
      <c r="H28" s="11"/>
    </row>
    <row r="29" spans="1:12" x14ac:dyDescent="0.15">
      <c r="D29" s="6">
        <v>160100014000</v>
      </c>
      <c r="E29" s="82"/>
      <c r="F29" s="7">
        <f t="shared" si="1"/>
        <v>2</v>
      </c>
      <c r="G29" s="11" t="str">
        <f t="shared" si="0"/>
        <v>160100014000-2/</v>
      </c>
      <c r="H29" s="11"/>
      <c r="K29" t="s">
        <v>13</v>
      </c>
      <c r="L29">
        <f>CODE(K29)</f>
        <v>82</v>
      </c>
    </row>
    <row r="30" spans="1:12" x14ac:dyDescent="0.15">
      <c r="D30" s="6">
        <v>160100014000</v>
      </c>
      <c r="E30" s="82"/>
      <c r="F30" s="7">
        <f t="shared" si="1"/>
        <v>3</v>
      </c>
      <c r="G30" s="11" t="str">
        <f t="shared" si="0"/>
        <v>160100014000-3/</v>
      </c>
      <c r="H30" s="11"/>
      <c r="K30" t="s">
        <v>13</v>
      </c>
      <c r="L30" t="str">
        <f>CHAR(L29)</f>
        <v>R</v>
      </c>
    </row>
    <row r="31" spans="1:12" x14ac:dyDescent="0.15">
      <c r="D31" s="6">
        <v>160100014000</v>
      </c>
      <c r="E31" s="82"/>
      <c r="F31" s="7">
        <f t="shared" si="1"/>
        <v>4</v>
      </c>
      <c r="G31" s="11" t="str">
        <f t="shared" si="0"/>
        <v>160100014000-4/</v>
      </c>
      <c r="H31" s="11"/>
    </row>
    <row r="32" spans="1:12" x14ac:dyDescent="0.15">
      <c r="D32" s="6">
        <v>160100014000</v>
      </c>
      <c r="E32" s="82"/>
      <c r="F32" s="7">
        <f t="shared" si="1"/>
        <v>5</v>
      </c>
      <c r="G32" s="11" t="str">
        <f t="shared" si="0"/>
        <v>160100014000-5/</v>
      </c>
      <c r="H32" s="11"/>
    </row>
    <row r="33" spans="1:8" x14ac:dyDescent="0.15">
      <c r="D33" s="6">
        <v>160100014000</v>
      </c>
      <c r="E33" s="83"/>
      <c r="F33" s="7">
        <f t="shared" si="1"/>
        <v>6</v>
      </c>
      <c r="G33" s="11" t="str">
        <f t="shared" si="0"/>
        <v>160100014000-6/</v>
      </c>
      <c r="H33" s="11"/>
    </row>
    <row r="34" spans="1:8" x14ac:dyDescent="0.15">
      <c r="D34" s="6">
        <v>160100014001</v>
      </c>
      <c r="E34" s="81">
        <v>36</v>
      </c>
      <c r="F34" s="7">
        <f t="shared" si="1"/>
        <v>1</v>
      </c>
      <c r="G34" s="11" t="str">
        <f t="shared" si="0"/>
        <v>160100014001-1/36</v>
      </c>
      <c r="H34" s="11"/>
    </row>
    <row r="35" spans="1:8" x14ac:dyDescent="0.15">
      <c r="D35" s="6">
        <v>160100014001</v>
      </c>
      <c r="E35" s="82"/>
      <c r="F35" s="7">
        <f t="shared" si="1"/>
        <v>2</v>
      </c>
      <c r="G35" s="11" t="str">
        <f t="shared" si="0"/>
        <v>160100014001-2/</v>
      </c>
      <c r="H35" s="11"/>
    </row>
    <row r="36" spans="1:8" x14ac:dyDescent="0.15">
      <c r="D36" s="6">
        <v>160100014001</v>
      </c>
      <c r="E36" s="82"/>
      <c r="F36" s="7">
        <f t="shared" si="1"/>
        <v>3</v>
      </c>
      <c r="G36" s="11" t="str">
        <f t="shared" si="0"/>
        <v>160100014001-3/</v>
      </c>
      <c r="H36" s="11"/>
    </row>
    <row r="37" spans="1:8" x14ac:dyDescent="0.15">
      <c r="D37" s="6">
        <v>160100014001</v>
      </c>
      <c r="E37" s="82"/>
      <c r="F37" s="7">
        <f t="shared" si="1"/>
        <v>4</v>
      </c>
      <c r="G37" s="11" t="str">
        <f t="shared" si="0"/>
        <v>160100014001-4/</v>
      </c>
    </row>
    <row r="38" spans="1:8" x14ac:dyDescent="0.15">
      <c r="D38" s="6">
        <v>160100014001</v>
      </c>
      <c r="E38" s="82"/>
      <c r="F38" s="7">
        <f t="shared" si="1"/>
        <v>5</v>
      </c>
      <c r="G38" s="11" t="str">
        <f t="shared" si="0"/>
        <v>160100014001-5/</v>
      </c>
    </row>
    <row r="39" spans="1:8" x14ac:dyDescent="0.15">
      <c r="D39" s="6">
        <v>160100014001</v>
      </c>
      <c r="E39" s="83"/>
      <c r="F39" s="7">
        <f t="shared" si="1"/>
        <v>6</v>
      </c>
      <c r="G39" s="11" t="str">
        <f t="shared" si="0"/>
        <v>160100014001-6/</v>
      </c>
    </row>
    <row r="40" spans="1:8" x14ac:dyDescent="0.15">
      <c r="E40" s="84">
        <v>0</v>
      </c>
    </row>
    <row r="41" spans="1:8" x14ac:dyDescent="0.15">
      <c r="E41" s="85"/>
    </row>
    <row r="42" spans="1:8" x14ac:dyDescent="0.15">
      <c r="E42" s="85"/>
    </row>
    <row r="43" spans="1:8" x14ac:dyDescent="0.15">
      <c r="A43" t="s">
        <v>8</v>
      </c>
      <c r="D43" s="1">
        <v>40871</v>
      </c>
      <c r="E43" s="1">
        <v>31436</v>
      </c>
      <c r="G43">
        <f>YEARFRAC(E43,D43,1)</f>
        <v>25.832982308340355</v>
      </c>
    </row>
    <row r="44" spans="1:8" x14ac:dyDescent="0.15">
      <c r="E44" s="16">
        <v>0</v>
      </c>
    </row>
    <row r="45" spans="1:8" x14ac:dyDescent="0.15">
      <c r="D45" s="4">
        <v>123424324</v>
      </c>
      <c r="E45">
        <v>123424324</v>
      </c>
      <c r="G45" t="str">
        <f>DOLLAR(E45)</f>
        <v>¥123,424,324.00</v>
      </c>
    </row>
    <row r="48" spans="1:8" x14ac:dyDescent="0.15">
      <c r="D48" s="27">
        <v>2010.09</v>
      </c>
      <c r="E48" s="27">
        <v>2010.1</v>
      </c>
      <c r="F48" s="1">
        <f>DATE(LEFT(E48,12),MID(E48&amp;"0",6,2),1)</f>
        <v>40452</v>
      </c>
      <c r="G48" s="28">
        <f>ROUND(YEARFRAC(E48,F48,1)*12,0)</f>
        <v>1263</v>
      </c>
    </row>
    <row r="49" spans="4:6" x14ac:dyDescent="0.15">
      <c r="D49" s="1">
        <v>40422</v>
      </c>
      <c r="E49" s="1">
        <v>40179</v>
      </c>
    </row>
    <row r="55" spans="4:6" x14ac:dyDescent="0.15">
      <c r="D55" s="19" t="s">
        <v>39</v>
      </c>
      <c r="E55">
        <f>SUMPRODUCT(1/COUNTIF(D55:D62,D55:D62))</f>
        <v>2</v>
      </c>
      <c r="F55">
        <f>SUMPRODUCT(1/COUNTIF(D55:D62,D55:D62))</f>
        <v>2</v>
      </c>
    </row>
    <row r="56" spans="4:6" x14ac:dyDescent="0.15">
      <c r="D56" s="19" t="s">
        <v>39</v>
      </c>
      <c r="F56">
        <f>COUNTIF(D55:D62,D55:D62)</f>
        <v>6</v>
      </c>
    </row>
    <row r="57" spans="4:6" x14ac:dyDescent="0.15">
      <c r="D57" s="19" t="s">
        <v>39</v>
      </c>
      <c r="F57" s="26">
        <f>COUNTIF(D56:D63,D56:D63)</f>
        <v>5</v>
      </c>
    </row>
    <row r="58" spans="4:6" x14ac:dyDescent="0.15">
      <c r="D58" s="19" t="s">
        <v>39</v>
      </c>
      <c r="F58" s="26">
        <f>COUNTIF(D57:D64,D57:D64)</f>
        <v>4</v>
      </c>
    </row>
    <row r="59" spans="4:6" x14ac:dyDescent="0.15">
      <c r="D59" s="19" t="s">
        <v>40</v>
      </c>
      <c r="F59" s="26">
        <f>COUNTIF(D58:D64,D58:D64)</f>
        <v>2</v>
      </c>
    </row>
    <row r="60" spans="4:6" x14ac:dyDescent="0.15">
      <c r="D60" s="19" t="s">
        <v>39</v>
      </c>
      <c r="F60" s="26">
        <f>COUNTIF(D59:D65,D59:D65)</f>
        <v>2</v>
      </c>
    </row>
    <row r="61" spans="4:6" x14ac:dyDescent="0.15">
      <c r="D61" s="19" t="s">
        <v>39</v>
      </c>
      <c r="F61" s="26">
        <f>COUNTIF(D60:D66,D60:D66)</f>
        <v>2</v>
      </c>
    </row>
    <row r="62" spans="4:6" x14ac:dyDescent="0.15">
      <c r="D62" s="19" t="s">
        <v>40</v>
      </c>
    </row>
    <row r="69" spans="4:4" x14ac:dyDescent="0.15">
      <c r="D69" t="s">
        <v>50</v>
      </c>
    </row>
    <row r="70" spans="4:4" x14ac:dyDescent="0.15">
      <c r="D70" s="38" t="s">
        <v>49</v>
      </c>
    </row>
  </sheetData>
  <dataConsolidate topLabels="1" link="1">
    <dataRefs count="1">
      <dataRef ref="H9:H14" sheet="常用函数"/>
    </dataRefs>
  </dataConsolidate>
  <mergeCells count="3">
    <mergeCell ref="E28:E33"/>
    <mergeCell ref="E34:E39"/>
    <mergeCell ref="E40:E42"/>
  </mergeCells>
  <phoneticPr fontId="1" type="noConversion"/>
  <conditionalFormatting sqref="D23:D39">
    <cfRule type="duplicateValues" dxfId="4" priority="1" stopIfTrue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C11"/>
  <sheetViews>
    <sheetView workbookViewId="0">
      <selection activeCell="C8" sqref="C8"/>
    </sheetView>
  </sheetViews>
  <sheetFormatPr defaultRowHeight="13.5" x14ac:dyDescent="0.15"/>
  <cols>
    <col min="1" max="1" width="15.125" bestFit="1" customWidth="1"/>
    <col min="3" max="3" width="17.375" bestFit="1" customWidth="1"/>
  </cols>
  <sheetData>
    <row r="1" spans="3:3" s="77" customFormat="1" x14ac:dyDescent="0.15"/>
    <row r="2" spans="3:3" s="76" customFormat="1" x14ac:dyDescent="0.15"/>
    <row r="4" spans="3:3" x14ac:dyDescent="0.15">
      <c r="C4" s="76"/>
    </row>
    <row r="5" spans="3:3" x14ac:dyDescent="0.15">
      <c r="C5" s="76"/>
    </row>
    <row r="6" spans="3:3" x14ac:dyDescent="0.15">
      <c r="C6" s="76"/>
    </row>
    <row r="7" spans="3:3" x14ac:dyDescent="0.15">
      <c r="C7" s="76"/>
    </row>
    <row r="8" spans="3:3" x14ac:dyDescent="0.15">
      <c r="C8" s="76"/>
    </row>
    <row r="9" spans="3:3" x14ac:dyDescent="0.15">
      <c r="C9" s="76"/>
    </row>
    <row r="10" spans="3:3" x14ac:dyDescent="0.15">
      <c r="C10" s="76"/>
    </row>
    <row r="11" spans="3:3" x14ac:dyDescent="0.15">
      <c r="C11" s="7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9"/>
  <sheetViews>
    <sheetView topLeftCell="A7" workbookViewId="0">
      <selection activeCell="H16" sqref="H16"/>
    </sheetView>
  </sheetViews>
  <sheetFormatPr defaultRowHeight="13.5" x14ac:dyDescent="0.15"/>
  <cols>
    <col min="1" max="1" width="13.75" customWidth="1"/>
  </cols>
  <sheetData>
    <row r="1" spans="1:11" x14ac:dyDescent="0.15">
      <c r="A1" t="s">
        <v>9</v>
      </c>
      <c r="B1">
        <v>1</v>
      </c>
    </row>
    <row r="2" spans="1:11" x14ac:dyDescent="0.15">
      <c r="A2" t="s">
        <v>10</v>
      </c>
      <c r="B2">
        <v>1</v>
      </c>
    </row>
    <row r="3" spans="1:11" x14ac:dyDescent="0.15">
      <c r="J3" s="9"/>
    </row>
    <row r="4" spans="1:11" x14ac:dyDescent="0.15">
      <c r="E4" s="9"/>
      <c r="J4" s="9"/>
    </row>
    <row r="5" spans="1:11" x14ac:dyDescent="0.15">
      <c r="E5" s="8"/>
      <c r="J5" s="9"/>
    </row>
    <row r="6" spans="1:11" x14ac:dyDescent="0.15">
      <c r="E6" s="8"/>
      <c r="J6" s="9"/>
    </row>
    <row r="7" spans="1:11" x14ac:dyDescent="0.15">
      <c r="J7" s="9"/>
    </row>
    <row r="8" spans="1:11" x14ac:dyDescent="0.15">
      <c r="J8" s="9"/>
    </row>
    <row r="9" spans="1:11" x14ac:dyDescent="0.15">
      <c r="A9" t="s">
        <v>195</v>
      </c>
      <c r="E9" s="8"/>
      <c r="G9" s="64" t="s">
        <v>293</v>
      </c>
      <c r="H9" s="64" t="s">
        <v>294</v>
      </c>
      <c r="I9" s="64" t="s">
        <v>279</v>
      </c>
      <c r="J9" s="64" t="s">
        <v>296</v>
      </c>
      <c r="K9" s="64" t="s">
        <v>320</v>
      </c>
    </row>
    <row r="10" spans="1:11" x14ac:dyDescent="0.15">
      <c r="A10" t="s">
        <v>196</v>
      </c>
      <c r="B10">
        <v>1</v>
      </c>
      <c r="C10" t="s">
        <v>199</v>
      </c>
      <c r="G10" s="64" t="s">
        <v>295</v>
      </c>
      <c r="H10" s="64">
        <v>1</v>
      </c>
      <c r="I10" s="64">
        <v>1</v>
      </c>
      <c r="J10" s="64">
        <v>3</v>
      </c>
      <c r="K10" s="64">
        <v>1</v>
      </c>
    </row>
    <row r="11" spans="1:11" x14ac:dyDescent="0.15">
      <c r="A11" t="s">
        <v>197</v>
      </c>
      <c r="B11">
        <v>2</v>
      </c>
    </row>
    <row r="12" spans="1:11" x14ac:dyDescent="0.15">
      <c r="A12" t="s">
        <v>198</v>
      </c>
      <c r="B12">
        <v>3</v>
      </c>
    </row>
    <row r="14" spans="1:11" x14ac:dyDescent="0.15">
      <c r="A14">
        <v>1</v>
      </c>
      <c r="B14">
        <f>100+A14</f>
        <v>101</v>
      </c>
      <c r="C14" s="60" t="s">
        <v>200</v>
      </c>
    </row>
    <row r="15" spans="1:11" x14ac:dyDescent="0.15">
      <c r="A15">
        <v>2</v>
      </c>
      <c r="B15" s="60">
        <f t="shared" ref="B15:B25" si="0">100+A15</f>
        <v>102</v>
      </c>
    </row>
    <row r="16" spans="1:11" x14ac:dyDescent="0.15">
      <c r="A16" s="60">
        <v>3</v>
      </c>
      <c r="B16" s="60">
        <f t="shared" si="0"/>
        <v>103</v>
      </c>
    </row>
    <row r="17" spans="1:3" x14ac:dyDescent="0.15">
      <c r="A17" s="60">
        <v>4</v>
      </c>
      <c r="B17" s="60">
        <f t="shared" si="0"/>
        <v>104</v>
      </c>
    </row>
    <row r="18" spans="1:3" x14ac:dyDescent="0.15">
      <c r="A18" s="60">
        <v>5</v>
      </c>
      <c r="B18" s="60">
        <f t="shared" si="0"/>
        <v>105</v>
      </c>
    </row>
    <row r="19" spans="1:3" x14ac:dyDescent="0.15">
      <c r="A19" s="60">
        <v>6</v>
      </c>
      <c r="B19" s="60">
        <f t="shared" si="0"/>
        <v>106</v>
      </c>
    </row>
    <row r="20" spans="1:3" x14ac:dyDescent="0.15">
      <c r="A20" s="60">
        <v>7</v>
      </c>
      <c r="B20" s="60">
        <f t="shared" si="0"/>
        <v>107</v>
      </c>
    </row>
    <row r="21" spans="1:3" x14ac:dyDescent="0.15">
      <c r="A21" s="60">
        <v>8</v>
      </c>
      <c r="B21" s="60">
        <f t="shared" si="0"/>
        <v>108</v>
      </c>
    </row>
    <row r="22" spans="1:3" x14ac:dyDescent="0.15">
      <c r="A22" s="60">
        <v>9</v>
      </c>
      <c r="B22" s="60">
        <f t="shared" si="0"/>
        <v>109</v>
      </c>
    </row>
    <row r="23" spans="1:3" x14ac:dyDescent="0.15">
      <c r="A23" s="60">
        <v>10</v>
      </c>
      <c r="B23" s="60">
        <f t="shared" si="0"/>
        <v>110</v>
      </c>
    </row>
    <row r="24" spans="1:3" x14ac:dyDescent="0.15">
      <c r="A24" s="60">
        <v>11</v>
      </c>
      <c r="B24" s="60">
        <f t="shared" si="0"/>
        <v>111</v>
      </c>
    </row>
    <row r="25" spans="1:3" x14ac:dyDescent="0.15">
      <c r="A25" s="60">
        <v>12</v>
      </c>
      <c r="B25" s="60">
        <f t="shared" si="0"/>
        <v>112</v>
      </c>
    </row>
    <row r="27" spans="1:3" x14ac:dyDescent="0.15">
      <c r="A27" s="60">
        <v>1</v>
      </c>
      <c r="B27">
        <f>10000+A27</f>
        <v>10001</v>
      </c>
      <c r="C27" t="s">
        <v>201</v>
      </c>
    </row>
    <row r="28" spans="1:3" x14ac:dyDescent="0.15">
      <c r="A28" s="60">
        <v>2</v>
      </c>
      <c r="B28" s="60">
        <f>10000+A28</f>
        <v>10002</v>
      </c>
    </row>
    <row r="29" spans="1:3" x14ac:dyDescent="0.15">
      <c r="A29" s="60">
        <v>3</v>
      </c>
      <c r="B29" s="60">
        <f>10000+A29</f>
        <v>10003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98"/>
  <sheetViews>
    <sheetView topLeftCell="C1" workbookViewId="0">
      <selection activeCell="G1" sqref="G1:H1048576"/>
    </sheetView>
  </sheetViews>
  <sheetFormatPr defaultRowHeight="13.5" x14ac:dyDescent="0.15"/>
  <cols>
    <col min="1" max="1" width="9" bestFit="1" customWidth="1"/>
    <col min="2" max="2" width="12.75" bestFit="1" customWidth="1"/>
    <col min="3" max="3" width="9" style="23"/>
    <col min="4" max="4" width="20.25" style="57" bestFit="1" customWidth="1"/>
    <col min="6" max="6" width="21.125" style="23" customWidth="1"/>
    <col min="7" max="7" width="56" customWidth="1"/>
    <col min="8" max="8" width="59.5" bestFit="1" customWidth="1"/>
    <col min="10" max="10" width="30.375" style="23" customWidth="1"/>
    <col min="11" max="11" width="82.75" customWidth="1"/>
    <col min="12" max="12" width="9" style="22"/>
    <col min="14" max="14" width="2.5" bestFit="1" customWidth="1"/>
    <col min="15" max="15" width="9" style="23"/>
    <col min="16" max="19" width="9" style="36"/>
    <col min="20" max="20" width="9" style="23"/>
    <col min="21" max="21" width="46.625" bestFit="1" customWidth="1"/>
    <col min="22" max="22" width="32.125" customWidth="1"/>
    <col min="23" max="23" width="9" style="23"/>
    <col min="24" max="24" width="12" customWidth="1"/>
    <col min="25" max="25" width="9" style="23"/>
    <col min="26" max="26" width="45.875" customWidth="1"/>
    <col min="27" max="27" width="22.75" bestFit="1" customWidth="1"/>
    <col min="28" max="28" width="12.5" customWidth="1"/>
    <col min="29" max="29" width="9" style="23"/>
    <col min="30" max="30" width="20.625" customWidth="1"/>
    <col min="31" max="31" width="132" bestFit="1" customWidth="1"/>
    <col min="32" max="32" width="9" style="23"/>
    <col min="35" max="35" width="9" style="23"/>
  </cols>
  <sheetData>
    <row r="1" spans="1:40" x14ac:dyDescent="0.15">
      <c r="A1" s="10" t="s">
        <v>11</v>
      </c>
      <c r="B1" s="10">
        <f>COUNTA(A:A)-2</f>
        <v>9</v>
      </c>
      <c r="D1" s="56" t="s">
        <v>12</v>
      </c>
      <c r="E1" s="10">
        <f>COUNTA(D:D)-1</f>
        <v>0</v>
      </c>
      <c r="G1" t="s">
        <v>14</v>
      </c>
      <c r="H1" t="s">
        <v>15</v>
      </c>
      <c r="I1" s="10">
        <f>COUNTA(H:H)-1</f>
        <v>12</v>
      </c>
      <c r="J1" s="23" t="s">
        <v>38</v>
      </c>
      <c r="K1" t="s">
        <v>35</v>
      </c>
      <c r="L1" s="10">
        <f>COUNTA(K:K)-1</f>
        <v>19</v>
      </c>
      <c r="M1" t="s">
        <v>36</v>
      </c>
      <c r="N1" s="10">
        <f>COUNTA(M:M)-1</f>
        <v>19</v>
      </c>
      <c r="O1" s="23" t="s">
        <v>42</v>
      </c>
      <c r="P1" s="36" t="s">
        <v>101</v>
      </c>
      <c r="Q1" s="36" t="s">
        <v>43</v>
      </c>
      <c r="R1" s="36" t="s">
        <v>44</v>
      </c>
      <c r="S1" s="36" t="s">
        <v>45</v>
      </c>
      <c r="T1" s="23">
        <f>COUNTA(S:S)-1</f>
        <v>4</v>
      </c>
      <c r="U1" t="s">
        <v>65</v>
      </c>
      <c r="V1" t="s">
        <v>66</v>
      </c>
      <c r="W1" s="23">
        <f>COUNTA(V:V)-1</f>
        <v>17</v>
      </c>
      <c r="X1" t="s">
        <v>182</v>
      </c>
      <c r="Y1" s="23">
        <f>COUNTA(X:X)-1</f>
        <v>11</v>
      </c>
      <c r="Z1" t="s">
        <v>328</v>
      </c>
      <c r="AA1" s="66" t="s">
        <v>330</v>
      </c>
      <c r="AB1" t="s">
        <v>329</v>
      </c>
      <c r="AC1" s="23">
        <f>COUNTA(Z:Z)-1</f>
        <v>45</v>
      </c>
      <c r="AD1" t="s">
        <v>331</v>
      </c>
      <c r="AE1" t="s">
        <v>332</v>
      </c>
      <c r="AF1" s="23">
        <f>COUNTA(AD:AD)-1</f>
        <v>97</v>
      </c>
      <c r="AG1" t="s">
        <v>536</v>
      </c>
      <c r="AH1" t="s">
        <v>537</v>
      </c>
      <c r="AI1" s="23">
        <f>COUNTA(AH:AH)-1</f>
        <v>45</v>
      </c>
      <c r="AJ1" t="s">
        <v>618</v>
      </c>
      <c r="AK1" t="s">
        <v>619</v>
      </c>
      <c r="AL1" t="s">
        <v>620</v>
      </c>
      <c r="AM1" t="s">
        <v>621</v>
      </c>
      <c r="AN1" s="23">
        <f>COUNTA(AM:AM)-1</f>
        <v>0</v>
      </c>
    </row>
    <row r="2" spans="1:40" ht="22.5" x14ac:dyDescent="0.15">
      <c r="A2" s="37" t="s">
        <v>47</v>
      </c>
      <c r="B2" s="37" t="s">
        <v>48</v>
      </c>
      <c r="D2" s="61"/>
      <c r="F2" s="23" t="s">
        <v>30</v>
      </c>
      <c r="G2" s="20" t="str">
        <f>"[2011年1月—12月基站电费清单(蓝田）.xls]"&amp; ROW(C1) &amp; "月!$A$1:$Q$5000"</f>
        <v>[2011年1月—12月基站电费清单(蓝田）.xls]1月!$A$1:$Q$5000</v>
      </c>
      <c r="H2" s="18" t="str">
        <f>"[2011年1月—12月基站电费清单(蓝田）.xls]2011年"&amp; ROW(D1) &amp; "月!$Y$1"</f>
        <v>[2011年1月—12月基站电费清单(蓝田）.xls]2011年1月!$Y$1</v>
      </c>
      <c r="I2" t="s">
        <v>623</v>
      </c>
      <c r="K2" t="s">
        <v>139</v>
      </c>
      <c r="M2" t="s">
        <v>140</v>
      </c>
      <c r="P2" s="49" t="s">
        <v>170</v>
      </c>
      <c r="Q2" s="49" t="s">
        <v>176</v>
      </c>
      <c r="R2" s="49" t="s">
        <v>171</v>
      </c>
      <c r="S2" s="49" t="s">
        <v>177</v>
      </c>
      <c r="T2" s="23">
        <f>COUNTA(Q:Q)-1</f>
        <v>5</v>
      </c>
      <c r="U2" s="40" t="s">
        <v>67</v>
      </c>
      <c r="V2" s="42" t="s">
        <v>94</v>
      </c>
      <c r="X2" s="58" t="s">
        <v>183</v>
      </c>
      <c r="Y2" s="58" t="s">
        <v>194</v>
      </c>
      <c r="Z2" t="s">
        <v>334</v>
      </c>
      <c r="AA2" t="s">
        <v>335</v>
      </c>
      <c r="AB2" s="66" t="s">
        <v>336</v>
      </c>
      <c r="AC2" s="66"/>
      <c r="AD2" s="71" t="s">
        <v>525</v>
      </c>
      <c r="AE2" s="71" t="s">
        <v>526</v>
      </c>
      <c r="AG2" s="72" t="s">
        <v>541</v>
      </c>
      <c r="AH2" s="72" t="s">
        <v>542</v>
      </c>
    </row>
    <row r="3" spans="1:40" ht="22.5" x14ac:dyDescent="0.15">
      <c r="A3" s="37" t="s">
        <v>602</v>
      </c>
      <c r="B3" s="69" t="s">
        <v>617</v>
      </c>
      <c r="D3" s="61"/>
      <c r="F3" s="23" t="s">
        <v>31</v>
      </c>
      <c r="G3" s="25" t="str">
        <f>"[2011年1月—12月基站电费清单(蓝田）.xls]"&amp; ROW(C2) &amp; "月!$A$1:$Q$5000"</f>
        <v>[2011年1月—12月基站电费清单(蓝田）.xls]2月!$A$1:$Q$5000</v>
      </c>
      <c r="H3" s="24" t="str">
        <f t="shared" ref="H3:H13" si="0">"[2011年1月—12月基站电费清单(蓝田）.xls]2011年"&amp; ROW(D2) &amp; "月!$Y$1"</f>
        <v>[2011年1月—12月基站电费清单(蓝田）.xls]2011年2月!$Y$1</v>
      </c>
      <c r="I3" s="21" t="s">
        <v>623</v>
      </c>
      <c r="K3" s="22" t="s">
        <v>121</v>
      </c>
      <c r="M3" s="22" t="s">
        <v>141</v>
      </c>
      <c r="Q3" s="49" t="s">
        <v>175</v>
      </c>
      <c r="R3" s="49"/>
      <c r="S3" s="49" t="s">
        <v>178</v>
      </c>
      <c r="U3" s="40" t="s">
        <v>68</v>
      </c>
      <c r="V3" s="42" t="s">
        <v>95</v>
      </c>
      <c r="X3" s="58" t="s">
        <v>184</v>
      </c>
      <c r="Z3" s="67" t="s">
        <v>334</v>
      </c>
      <c r="AA3" t="s">
        <v>337</v>
      </c>
      <c r="AB3" t="s">
        <v>338</v>
      </c>
      <c r="AD3" s="71" t="s">
        <v>429</v>
      </c>
      <c r="AE3" s="35" t="s">
        <v>527</v>
      </c>
      <c r="AG3" s="72" t="s">
        <v>541</v>
      </c>
      <c r="AH3" s="72" t="s">
        <v>543</v>
      </c>
    </row>
    <row r="4" spans="1:40" ht="22.5" x14ac:dyDescent="0.15">
      <c r="A4" s="37" t="s">
        <v>603</v>
      </c>
      <c r="B4" s="69" t="s">
        <v>609</v>
      </c>
      <c r="D4" s="61"/>
      <c r="F4" s="23" t="s">
        <v>32</v>
      </c>
      <c r="G4" s="25" t="str">
        <f t="shared" ref="G4:G13" si="1">"[2011年1月—12月基站电费清单(蓝田）.xls]"&amp; ROW(C3) &amp; "月!$A$1:$Q$5000"</f>
        <v>[2011年1月—12月基站电费清单(蓝田）.xls]3月!$A$1:$Q$5000</v>
      </c>
      <c r="H4" s="24" t="str">
        <f t="shared" si="0"/>
        <v>[2011年1月—12月基站电费清单(蓝田）.xls]2011年3月!$Y$1</v>
      </c>
      <c r="I4" s="21" t="s">
        <v>623</v>
      </c>
      <c r="K4" s="22" t="s">
        <v>122</v>
      </c>
      <c r="M4" s="22" t="s">
        <v>142</v>
      </c>
      <c r="Q4" s="49" t="s">
        <v>174</v>
      </c>
      <c r="R4" s="49"/>
      <c r="S4" s="49" t="s">
        <v>179</v>
      </c>
      <c r="U4" s="40" t="s">
        <v>69</v>
      </c>
      <c r="V4" s="42" t="s">
        <v>96</v>
      </c>
      <c r="X4" s="58" t="s">
        <v>185</v>
      </c>
      <c r="Z4" s="67" t="s">
        <v>334</v>
      </c>
      <c r="AA4" t="s">
        <v>339</v>
      </c>
      <c r="AB4" t="s">
        <v>340</v>
      </c>
      <c r="AD4" s="71" t="s">
        <v>430</v>
      </c>
      <c r="AE4" s="71" t="s">
        <v>528</v>
      </c>
      <c r="AG4" s="72" t="s">
        <v>541</v>
      </c>
      <c r="AH4" s="72" t="s">
        <v>544</v>
      </c>
    </row>
    <row r="5" spans="1:40" ht="22.5" x14ac:dyDescent="0.15">
      <c r="A5" s="62" t="s">
        <v>600</v>
      </c>
      <c r="B5" s="69" t="s">
        <v>610</v>
      </c>
      <c r="D5" s="61"/>
      <c r="F5" s="23" t="s">
        <v>34</v>
      </c>
      <c r="G5" s="25" t="str">
        <f t="shared" si="1"/>
        <v>[2011年1月—12月基站电费清单(蓝田）.xls]4月!$A$1:$Q$5000</v>
      </c>
      <c r="H5" s="24" t="str">
        <f t="shared" si="0"/>
        <v>[2011年1月—12月基站电费清单(蓝田）.xls]2011年4月!$Y$1</v>
      </c>
      <c r="I5" s="21" t="s">
        <v>623</v>
      </c>
      <c r="K5" s="22" t="s">
        <v>123</v>
      </c>
      <c r="M5" s="22" t="s">
        <v>143</v>
      </c>
      <c r="Q5" s="49" t="s">
        <v>173</v>
      </c>
      <c r="R5" s="49"/>
      <c r="S5" s="49" t="s">
        <v>180</v>
      </c>
      <c r="U5" s="40" t="s">
        <v>70</v>
      </c>
      <c r="V5" s="42" t="s">
        <v>97</v>
      </c>
      <c r="X5" s="58" t="s">
        <v>186</v>
      </c>
      <c r="Z5" s="67" t="s">
        <v>334</v>
      </c>
      <c r="AA5" t="s">
        <v>341</v>
      </c>
      <c r="AB5" t="s">
        <v>342</v>
      </c>
      <c r="AD5" s="71" t="s">
        <v>431</v>
      </c>
      <c r="AE5" s="35" t="s">
        <v>526</v>
      </c>
      <c r="AG5" s="72" t="s">
        <v>541</v>
      </c>
      <c r="AH5" s="72" t="s">
        <v>545</v>
      </c>
      <c r="AM5" s="80"/>
    </row>
    <row r="6" spans="1:40" ht="22.5" x14ac:dyDescent="0.15">
      <c r="A6" s="62" t="s">
        <v>606</v>
      </c>
      <c r="B6" s="69" t="s">
        <v>611</v>
      </c>
      <c r="D6" s="61"/>
      <c r="F6" s="23" t="s">
        <v>33</v>
      </c>
      <c r="G6" s="25" t="str">
        <f t="shared" si="1"/>
        <v>[2011年1月—12月基站电费清单(蓝田）.xls]5月!$A$1:$Q$5000</v>
      </c>
      <c r="H6" s="24" t="str">
        <f t="shared" si="0"/>
        <v>[2011年1月—12月基站电费清单(蓝田）.xls]2011年5月!$Y$1</v>
      </c>
      <c r="I6" s="21" t="s">
        <v>623</v>
      </c>
      <c r="K6" s="22" t="s">
        <v>124</v>
      </c>
      <c r="M6" s="22" t="s">
        <v>144</v>
      </c>
      <c r="Q6" s="49" t="s">
        <v>172</v>
      </c>
      <c r="R6" s="49"/>
      <c r="S6" s="49"/>
      <c r="U6" s="40" t="s">
        <v>71</v>
      </c>
      <c r="V6" s="42" t="s">
        <v>98</v>
      </c>
      <c r="X6" s="58" t="s">
        <v>187</v>
      </c>
      <c r="Z6" s="67" t="s">
        <v>334</v>
      </c>
      <c r="AA6" t="s">
        <v>343</v>
      </c>
      <c r="AB6" t="s">
        <v>344</v>
      </c>
      <c r="AD6" s="71" t="s">
        <v>432</v>
      </c>
      <c r="AE6" s="71" t="s">
        <v>527</v>
      </c>
      <c r="AG6" s="72" t="s">
        <v>541</v>
      </c>
      <c r="AH6" s="72" t="s">
        <v>546</v>
      </c>
    </row>
    <row r="7" spans="1:40" ht="22.5" x14ac:dyDescent="0.15">
      <c r="A7" s="62" t="s">
        <v>607</v>
      </c>
      <c r="B7" s="69" t="s">
        <v>612</v>
      </c>
      <c r="D7" s="61"/>
      <c r="G7" s="25" t="str">
        <f t="shared" si="1"/>
        <v>[2011年1月—12月基站电费清单(蓝田）.xls]6月!$A$1:$Q$5000</v>
      </c>
      <c r="H7" s="24" t="str">
        <f t="shared" si="0"/>
        <v>[2011年1月—12月基站电费清单(蓝田）.xls]2011年6月!$Y$1</v>
      </c>
      <c r="K7" t="s">
        <v>125</v>
      </c>
      <c r="M7" t="s">
        <v>145</v>
      </c>
      <c r="Q7" s="49"/>
      <c r="R7" s="49"/>
      <c r="S7" s="49"/>
      <c r="U7" s="40" t="s">
        <v>72</v>
      </c>
      <c r="V7" s="42" t="s">
        <v>99</v>
      </c>
      <c r="X7" s="58" t="s">
        <v>188</v>
      </c>
      <c r="Z7" s="67" t="s">
        <v>334</v>
      </c>
      <c r="AA7" t="s">
        <v>345</v>
      </c>
      <c r="AB7" t="s">
        <v>346</v>
      </c>
      <c r="AD7" s="71" t="s">
        <v>433</v>
      </c>
      <c r="AE7" s="71" t="s">
        <v>528</v>
      </c>
      <c r="AG7" s="72" t="s">
        <v>541</v>
      </c>
      <c r="AH7" s="72" t="s">
        <v>547</v>
      </c>
    </row>
    <row r="8" spans="1:40" ht="22.5" x14ac:dyDescent="0.15">
      <c r="A8" s="62" t="s">
        <v>601</v>
      </c>
      <c r="B8" s="35" t="s">
        <v>613</v>
      </c>
      <c r="D8" s="61"/>
      <c r="G8" s="25" t="str">
        <f t="shared" si="1"/>
        <v>[2011年1月—12月基站电费清单(蓝田）.xls]7月!$A$1:$Q$5000</v>
      </c>
      <c r="H8" s="24" t="str">
        <f t="shared" si="0"/>
        <v>[2011年1月—12月基站电费清单(蓝田）.xls]2011年7月!$Y$1</v>
      </c>
      <c r="K8" t="s">
        <v>126</v>
      </c>
      <c r="M8" t="s">
        <v>146</v>
      </c>
      <c r="Q8" s="49"/>
      <c r="R8" s="49"/>
      <c r="S8" s="49"/>
      <c r="U8" s="40" t="s">
        <v>73</v>
      </c>
      <c r="V8" s="42" t="s">
        <v>100</v>
      </c>
      <c r="X8" s="58" t="s">
        <v>189</v>
      </c>
      <c r="Z8" s="67" t="s">
        <v>347</v>
      </c>
      <c r="AA8" t="s">
        <v>348</v>
      </c>
      <c r="AB8" t="s">
        <v>349</v>
      </c>
      <c r="AD8" s="71" t="s">
        <v>434</v>
      </c>
      <c r="AE8" s="71" t="s">
        <v>526</v>
      </c>
      <c r="AG8" s="72" t="s">
        <v>541</v>
      </c>
      <c r="AH8" s="72" t="s">
        <v>548</v>
      </c>
    </row>
    <row r="9" spans="1:40" x14ac:dyDescent="0.15">
      <c r="A9" s="62" t="s">
        <v>608</v>
      </c>
      <c r="B9" s="35" t="s">
        <v>614</v>
      </c>
      <c r="D9" s="61"/>
      <c r="F9" s="23" t="s">
        <v>37</v>
      </c>
      <c r="G9" s="25" t="str">
        <f t="shared" si="1"/>
        <v>[2011年1月—12月基站电费清单(蓝田）.xls]8月!$A$1:$Q$5000</v>
      </c>
      <c r="H9" s="24" t="str">
        <f t="shared" si="0"/>
        <v>[2011年1月—12月基站电费清单(蓝田）.xls]2011年8月!$Y$1</v>
      </c>
      <c r="K9" t="s">
        <v>127</v>
      </c>
      <c r="M9" t="s">
        <v>147</v>
      </c>
      <c r="Q9" s="49"/>
      <c r="R9" s="49"/>
      <c r="S9" s="49"/>
      <c r="U9" s="40" t="s">
        <v>74</v>
      </c>
      <c r="V9" s="42" t="s">
        <v>84</v>
      </c>
      <c r="X9" s="58" t="s">
        <v>190</v>
      </c>
      <c r="Z9" s="67" t="s">
        <v>347</v>
      </c>
      <c r="AA9" t="s">
        <v>350</v>
      </c>
      <c r="AB9" t="s">
        <v>351</v>
      </c>
      <c r="AD9" s="71" t="s">
        <v>435</v>
      </c>
      <c r="AE9" s="71" t="s">
        <v>527</v>
      </c>
      <c r="AG9" s="72" t="s">
        <v>541</v>
      </c>
      <c r="AH9" s="72" t="s">
        <v>549</v>
      </c>
    </row>
    <row r="10" spans="1:40" x14ac:dyDescent="0.15">
      <c r="A10" s="62" t="s">
        <v>604</v>
      </c>
      <c r="B10" s="35" t="s">
        <v>615</v>
      </c>
      <c r="D10" s="59"/>
      <c r="G10" s="25" t="str">
        <f t="shared" si="1"/>
        <v>[2011年1月—12月基站电费清单(蓝田）.xls]9月!$A$1:$Q$5000</v>
      </c>
      <c r="H10" s="24" t="str">
        <f t="shared" si="0"/>
        <v>[2011年1月—12月基站电费清单(蓝田）.xls]2011年9月!$Y$1</v>
      </c>
      <c r="K10" t="s">
        <v>128</v>
      </c>
      <c r="M10" t="s">
        <v>148</v>
      </c>
      <c r="Q10" s="49"/>
      <c r="R10" s="49"/>
      <c r="S10" s="49"/>
      <c r="U10" s="40" t="s">
        <v>75</v>
      </c>
      <c r="V10" s="42" t="s">
        <v>85</v>
      </c>
      <c r="X10" s="58" t="s">
        <v>191</v>
      </c>
      <c r="Z10" s="67" t="s">
        <v>347</v>
      </c>
      <c r="AA10" t="s">
        <v>352</v>
      </c>
      <c r="AB10" t="s">
        <v>353</v>
      </c>
      <c r="AD10" s="71" t="s">
        <v>436</v>
      </c>
      <c r="AE10" s="71" t="s">
        <v>528</v>
      </c>
      <c r="AG10" s="72" t="s">
        <v>541</v>
      </c>
      <c r="AH10" s="72" t="s">
        <v>550</v>
      </c>
    </row>
    <row r="11" spans="1:40" ht="27" x14ac:dyDescent="0.15">
      <c r="A11" s="62" t="s">
        <v>605</v>
      </c>
      <c r="B11" s="35" t="s">
        <v>616</v>
      </c>
      <c r="D11" s="59"/>
      <c r="G11" s="25" t="str">
        <f t="shared" si="1"/>
        <v>[2011年1月—12月基站电费清单(蓝田）.xls]10月!$A$1:$Q$5000</v>
      </c>
      <c r="H11" s="24" t="str">
        <f t="shared" si="0"/>
        <v>[2011年1月—12月基站电费清单(蓝田）.xls]2011年10月!$Y$1</v>
      </c>
      <c r="K11" t="s">
        <v>129</v>
      </c>
      <c r="M11" t="s">
        <v>149</v>
      </c>
      <c r="Q11" s="49"/>
      <c r="R11" s="49"/>
      <c r="S11" s="49"/>
      <c r="U11" s="40" t="s">
        <v>76</v>
      </c>
      <c r="V11" s="42" t="s">
        <v>86</v>
      </c>
      <c r="X11" s="58" t="s">
        <v>192</v>
      </c>
      <c r="Z11" s="67" t="s">
        <v>347</v>
      </c>
      <c r="AA11" t="s">
        <v>354</v>
      </c>
      <c r="AB11" t="s">
        <v>355</v>
      </c>
      <c r="AD11" s="71" t="s">
        <v>437</v>
      </c>
      <c r="AE11" s="71" t="s">
        <v>526</v>
      </c>
      <c r="AG11" s="72" t="s">
        <v>541</v>
      </c>
      <c r="AH11" s="72" t="s">
        <v>551</v>
      </c>
    </row>
    <row r="12" spans="1:40" ht="15.75" x14ac:dyDescent="0.15">
      <c r="A12" s="69"/>
      <c r="B12" s="35"/>
      <c r="D12" s="59"/>
      <c r="G12" s="25" t="str">
        <f t="shared" si="1"/>
        <v>[2011年1月—12月基站电费清单(蓝田）.xls]11月!$A$1:$Q$5000</v>
      </c>
      <c r="H12" s="24" t="str">
        <f t="shared" si="0"/>
        <v>[2011年1月—12月基站电费清单(蓝田）.xls]2011年11月!$Y$1</v>
      </c>
      <c r="K12" t="s">
        <v>130</v>
      </c>
      <c r="M12" t="s">
        <v>150</v>
      </c>
      <c r="S12" s="43"/>
      <c r="U12" s="40" t="s">
        <v>77</v>
      </c>
      <c r="V12" s="42" t="s">
        <v>87</v>
      </c>
      <c r="X12" s="58" t="s">
        <v>193</v>
      </c>
      <c r="Z12" s="67" t="s">
        <v>347</v>
      </c>
      <c r="AA12" t="s">
        <v>356</v>
      </c>
      <c r="AB12" t="s">
        <v>357</v>
      </c>
      <c r="AD12" s="71" t="s">
        <v>438</v>
      </c>
      <c r="AE12" s="71" t="s">
        <v>527</v>
      </c>
      <c r="AG12" s="72" t="s">
        <v>541</v>
      </c>
      <c r="AH12" s="72" t="s">
        <v>552</v>
      </c>
    </row>
    <row r="13" spans="1:40" ht="15.75" x14ac:dyDescent="0.15">
      <c r="A13" s="33"/>
      <c r="B13" s="35"/>
      <c r="D13" s="59"/>
      <c r="G13" s="30" t="str">
        <f t="shared" si="1"/>
        <v>[2011年1月—12月基站电费清单(蓝田）.xls]12月!$A$1:$Q$5000</v>
      </c>
      <c r="H13" s="24" t="str">
        <f t="shared" si="0"/>
        <v>[2011年1月—12月基站电费清单(蓝田）.xls]2011年12月!$Y$1</v>
      </c>
      <c r="K13" t="s">
        <v>131</v>
      </c>
      <c r="M13" t="s">
        <v>151</v>
      </c>
      <c r="S13" s="43"/>
      <c r="U13" s="40" t="s">
        <v>78</v>
      </c>
      <c r="V13" s="42" t="s">
        <v>88</v>
      </c>
      <c r="X13" s="58"/>
      <c r="Z13" s="67" t="s">
        <v>347</v>
      </c>
      <c r="AA13" t="s">
        <v>358</v>
      </c>
      <c r="AB13" t="s">
        <v>359</v>
      </c>
      <c r="AD13" s="71" t="s">
        <v>439</v>
      </c>
      <c r="AE13" s="71" t="s">
        <v>528</v>
      </c>
      <c r="AG13" s="72" t="s">
        <v>541</v>
      </c>
      <c r="AH13" s="72" t="s">
        <v>553</v>
      </c>
    </row>
    <row r="14" spans="1:40" ht="15.75" x14ac:dyDescent="0.15">
      <c r="A14" s="34"/>
      <c r="B14" s="35"/>
      <c r="D14" s="59"/>
      <c r="G14" s="24"/>
      <c r="K14" t="s">
        <v>132</v>
      </c>
      <c r="M14" t="s">
        <v>152</v>
      </c>
      <c r="S14" s="43"/>
      <c r="U14" t="s">
        <v>79</v>
      </c>
      <c r="V14" t="s">
        <v>89</v>
      </c>
      <c r="X14" s="58"/>
      <c r="Z14" s="67" t="s">
        <v>347</v>
      </c>
      <c r="AA14" t="s">
        <v>360</v>
      </c>
      <c r="AB14" t="s">
        <v>361</v>
      </c>
      <c r="AD14" s="71" t="s">
        <v>440</v>
      </c>
      <c r="AE14" s="71" t="s">
        <v>526</v>
      </c>
      <c r="AG14" s="72" t="s">
        <v>541</v>
      </c>
      <c r="AH14" s="72" t="s">
        <v>554</v>
      </c>
    </row>
    <row r="15" spans="1:40" ht="15.75" x14ac:dyDescent="0.15">
      <c r="A15" s="33"/>
      <c r="B15" s="35"/>
      <c r="D15" s="59"/>
      <c r="E15" s="17"/>
      <c r="G15" s="24"/>
      <c r="K15" t="s">
        <v>133</v>
      </c>
      <c r="M15" t="s">
        <v>153</v>
      </c>
      <c r="S15" s="43"/>
      <c r="U15" t="s">
        <v>80</v>
      </c>
      <c r="V15" t="s">
        <v>90</v>
      </c>
      <c r="X15" s="58"/>
      <c r="Z15" s="67" t="s">
        <v>347</v>
      </c>
      <c r="AA15" t="s">
        <v>362</v>
      </c>
      <c r="AB15" t="s">
        <v>363</v>
      </c>
      <c r="AD15" s="71" t="s">
        <v>441</v>
      </c>
      <c r="AE15" s="71" t="s">
        <v>527</v>
      </c>
      <c r="AG15" s="72" t="s">
        <v>541</v>
      </c>
      <c r="AH15" s="72" t="s">
        <v>555</v>
      </c>
    </row>
    <row r="16" spans="1:40" ht="15.75" x14ac:dyDescent="0.15">
      <c r="A16" s="34"/>
      <c r="B16" s="35"/>
      <c r="D16" s="59"/>
      <c r="G16" s="24"/>
      <c r="K16" t="s">
        <v>134</v>
      </c>
      <c r="M16" t="s">
        <v>154</v>
      </c>
      <c r="S16" s="43"/>
      <c r="U16" t="s">
        <v>81</v>
      </c>
      <c r="V16" t="s">
        <v>91</v>
      </c>
      <c r="X16" s="58"/>
      <c r="Z16" s="67" t="s">
        <v>347</v>
      </c>
      <c r="AA16" t="s">
        <v>364</v>
      </c>
      <c r="AB16" t="s">
        <v>365</v>
      </c>
      <c r="AD16" s="71" t="s">
        <v>442</v>
      </c>
      <c r="AE16" s="71" t="s">
        <v>528</v>
      </c>
      <c r="AG16" s="72" t="s">
        <v>541</v>
      </c>
      <c r="AH16" s="72" t="s">
        <v>556</v>
      </c>
    </row>
    <row r="17" spans="1:34" ht="15.75" x14ac:dyDescent="0.15">
      <c r="A17" s="33"/>
      <c r="B17" s="35"/>
      <c r="D17" s="59"/>
      <c r="G17" s="24"/>
      <c r="K17" t="s">
        <v>135</v>
      </c>
      <c r="M17" t="s">
        <v>155</v>
      </c>
      <c r="S17" s="43"/>
      <c r="U17" t="s">
        <v>82</v>
      </c>
      <c r="V17" t="s">
        <v>92</v>
      </c>
      <c r="X17" s="58"/>
      <c r="Z17" s="67" t="s">
        <v>347</v>
      </c>
      <c r="AA17" t="s">
        <v>366</v>
      </c>
      <c r="AB17" t="s">
        <v>367</v>
      </c>
      <c r="AD17" s="71" t="s">
        <v>443</v>
      </c>
      <c r="AE17" s="71" t="s">
        <v>526</v>
      </c>
      <c r="AG17" s="72" t="s">
        <v>541</v>
      </c>
      <c r="AH17" s="72" t="s">
        <v>557</v>
      </c>
    </row>
    <row r="18" spans="1:34" ht="15.75" x14ac:dyDescent="0.15">
      <c r="A18" s="33"/>
      <c r="B18" s="35"/>
      <c r="D18" s="59"/>
      <c r="G18" s="24"/>
      <c r="K18" t="s">
        <v>136</v>
      </c>
      <c r="M18" t="s">
        <v>156</v>
      </c>
      <c r="S18" s="43"/>
      <c r="U18" t="s">
        <v>83</v>
      </c>
      <c r="V18" t="s">
        <v>93</v>
      </c>
      <c r="X18" s="58"/>
      <c r="Z18" s="67" t="s">
        <v>347</v>
      </c>
      <c r="AA18" t="s">
        <v>368</v>
      </c>
      <c r="AB18" t="s">
        <v>369</v>
      </c>
      <c r="AD18" s="71" t="s">
        <v>444</v>
      </c>
      <c r="AE18" s="71" t="s">
        <v>527</v>
      </c>
      <c r="AG18" s="72" t="s">
        <v>541</v>
      </c>
      <c r="AH18" s="72" t="s">
        <v>558</v>
      </c>
    </row>
    <row r="19" spans="1:34" ht="15.75" x14ac:dyDescent="0.15">
      <c r="A19" s="34"/>
      <c r="B19" s="35"/>
      <c r="D19" s="59"/>
      <c r="G19" s="24"/>
      <c r="K19" t="s">
        <v>137</v>
      </c>
      <c r="M19" t="s">
        <v>157</v>
      </c>
      <c r="S19" s="43"/>
      <c r="X19" s="58"/>
      <c r="Z19" s="67" t="s">
        <v>347</v>
      </c>
      <c r="AA19" t="s">
        <v>370</v>
      </c>
      <c r="AB19" t="s">
        <v>371</v>
      </c>
      <c r="AD19" s="71" t="s">
        <v>445</v>
      </c>
      <c r="AE19" s="71" t="s">
        <v>528</v>
      </c>
      <c r="AG19" s="72" t="s">
        <v>541</v>
      </c>
      <c r="AH19" s="72" t="s">
        <v>559</v>
      </c>
    </row>
    <row r="20" spans="1:34" ht="15.75" x14ac:dyDescent="0.15">
      <c r="A20" s="33"/>
      <c r="B20" s="35"/>
      <c r="D20" s="59"/>
      <c r="G20" s="24"/>
      <c r="K20" t="s">
        <v>138</v>
      </c>
      <c r="M20" t="s">
        <v>158</v>
      </c>
      <c r="S20" s="43"/>
      <c r="X20" s="58"/>
      <c r="Z20" s="67" t="s">
        <v>347</v>
      </c>
      <c r="AA20" t="s">
        <v>372</v>
      </c>
      <c r="AB20" t="s">
        <v>373</v>
      </c>
      <c r="AD20" s="71" t="s">
        <v>446</v>
      </c>
      <c r="AE20" s="71" t="s">
        <v>526</v>
      </c>
      <c r="AG20" s="72" t="s">
        <v>541</v>
      </c>
      <c r="AH20" s="72" t="s">
        <v>560</v>
      </c>
    </row>
    <row r="21" spans="1:34" ht="15.75" x14ac:dyDescent="0.15">
      <c r="A21" s="33"/>
      <c r="B21" s="35"/>
      <c r="D21" s="59"/>
      <c r="G21" s="24"/>
      <c r="S21" s="43"/>
      <c r="Z21" s="67" t="s">
        <v>347</v>
      </c>
      <c r="AA21" t="s">
        <v>374</v>
      </c>
      <c r="AB21" t="s">
        <v>375</v>
      </c>
      <c r="AD21" s="71" t="s">
        <v>447</v>
      </c>
      <c r="AE21" s="71" t="s">
        <v>527</v>
      </c>
      <c r="AG21" s="72" t="s">
        <v>541</v>
      </c>
      <c r="AH21" s="72" t="s">
        <v>561</v>
      </c>
    </row>
    <row r="22" spans="1:34" ht="15.75" x14ac:dyDescent="0.15">
      <c r="A22" s="33"/>
      <c r="B22" s="35"/>
      <c r="D22" s="59"/>
      <c r="G22" s="24"/>
      <c r="S22" s="43"/>
      <c r="Z22" s="67" t="s">
        <v>347</v>
      </c>
      <c r="AA22" t="s">
        <v>376</v>
      </c>
      <c r="AB22" t="s">
        <v>377</v>
      </c>
      <c r="AD22" s="71" t="s">
        <v>448</v>
      </c>
      <c r="AE22" s="71" t="s">
        <v>528</v>
      </c>
      <c r="AG22" s="72" t="s">
        <v>541</v>
      </c>
      <c r="AH22" s="72" t="s">
        <v>562</v>
      </c>
    </row>
    <row r="23" spans="1:34" ht="15.75" x14ac:dyDescent="0.15">
      <c r="A23" s="33"/>
      <c r="B23" s="35"/>
      <c r="D23" s="59"/>
      <c r="G23" s="24"/>
      <c r="S23" s="43"/>
      <c r="Z23" s="67" t="s">
        <v>347</v>
      </c>
      <c r="AA23" t="s">
        <v>378</v>
      </c>
      <c r="AB23" t="s">
        <v>379</v>
      </c>
      <c r="AD23" s="71" t="s">
        <v>449</v>
      </c>
      <c r="AE23" s="71" t="s">
        <v>526</v>
      </c>
      <c r="AG23" s="72" t="s">
        <v>541</v>
      </c>
      <c r="AH23" s="72" t="s">
        <v>563</v>
      </c>
    </row>
    <row r="24" spans="1:34" x14ac:dyDescent="0.15">
      <c r="A24" s="34"/>
      <c r="B24" s="35"/>
      <c r="D24" s="59"/>
      <c r="G24" s="24"/>
      <c r="Z24" s="67" t="s">
        <v>347</v>
      </c>
      <c r="AA24" t="s">
        <v>380</v>
      </c>
      <c r="AB24" t="s">
        <v>381</v>
      </c>
      <c r="AD24" s="71" t="s">
        <v>450</v>
      </c>
      <c r="AE24" s="71" t="s">
        <v>527</v>
      </c>
      <c r="AG24" s="72" t="s">
        <v>541</v>
      </c>
      <c r="AH24" s="72" t="s">
        <v>564</v>
      </c>
    </row>
    <row r="25" spans="1:34" x14ac:dyDescent="0.15">
      <c r="A25" s="33"/>
      <c r="B25" s="35"/>
      <c r="D25" s="59"/>
      <c r="G25" s="24"/>
      <c r="Z25" s="67" t="s">
        <v>347</v>
      </c>
      <c r="AA25" t="s">
        <v>382</v>
      </c>
      <c r="AB25" t="s">
        <v>383</v>
      </c>
      <c r="AD25" s="71" t="s">
        <v>451</v>
      </c>
      <c r="AE25" s="71" t="s">
        <v>528</v>
      </c>
      <c r="AG25" s="72" t="s">
        <v>541</v>
      </c>
      <c r="AH25" s="72" t="s">
        <v>565</v>
      </c>
    </row>
    <row r="26" spans="1:34" x14ac:dyDescent="0.15">
      <c r="A26" s="34"/>
      <c r="B26" s="35"/>
      <c r="D26" s="59"/>
      <c r="Z26" t="s">
        <v>347</v>
      </c>
      <c r="AA26" t="s">
        <v>384</v>
      </c>
      <c r="AB26" t="s">
        <v>385</v>
      </c>
      <c r="AD26" s="71" t="s">
        <v>452</v>
      </c>
      <c r="AE26" s="71" t="s">
        <v>526</v>
      </c>
      <c r="AG26" s="72" t="s">
        <v>541</v>
      </c>
      <c r="AH26" s="72" t="s">
        <v>566</v>
      </c>
    </row>
    <row r="27" spans="1:34" x14ac:dyDescent="0.15">
      <c r="A27" s="33"/>
      <c r="B27" s="35"/>
      <c r="D27" s="59"/>
      <c r="Z27" t="s">
        <v>347</v>
      </c>
      <c r="AA27" t="s">
        <v>386</v>
      </c>
      <c r="AB27" t="s">
        <v>387</v>
      </c>
      <c r="AD27" s="71" t="s">
        <v>453</v>
      </c>
      <c r="AE27" s="71" t="s">
        <v>527</v>
      </c>
      <c r="AG27" s="72" t="s">
        <v>541</v>
      </c>
      <c r="AH27" s="72" t="s">
        <v>567</v>
      </c>
    </row>
    <row r="28" spans="1:34" x14ac:dyDescent="0.15">
      <c r="A28" s="33"/>
      <c r="B28" s="35"/>
      <c r="D28" s="59"/>
      <c r="Z28" t="s">
        <v>347</v>
      </c>
      <c r="AA28" t="s">
        <v>388</v>
      </c>
      <c r="AB28" t="s">
        <v>389</v>
      </c>
      <c r="AD28" s="71" t="s">
        <v>454</v>
      </c>
      <c r="AE28" s="71" t="s">
        <v>528</v>
      </c>
      <c r="AG28" s="72" t="s">
        <v>541</v>
      </c>
      <c r="AH28" s="72" t="s">
        <v>568</v>
      </c>
    </row>
    <row r="29" spans="1:34" x14ac:dyDescent="0.15">
      <c r="A29" s="34"/>
      <c r="B29" s="35"/>
      <c r="D29" s="59"/>
      <c r="Z29" t="s">
        <v>347</v>
      </c>
      <c r="AA29" t="s">
        <v>390</v>
      </c>
      <c r="AB29" t="s">
        <v>391</v>
      </c>
      <c r="AD29" s="71" t="s">
        <v>455</v>
      </c>
      <c r="AE29" s="71" t="s">
        <v>526</v>
      </c>
      <c r="AG29" s="72" t="s">
        <v>541</v>
      </c>
      <c r="AH29" s="72" t="s">
        <v>569</v>
      </c>
    </row>
    <row r="30" spans="1:34" x14ac:dyDescent="0.15">
      <c r="A30" s="33"/>
      <c r="B30" s="35"/>
      <c r="D30" s="59"/>
      <c r="Z30" t="s">
        <v>347</v>
      </c>
      <c r="AA30" t="s">
        <v>392</v>
      </c>
      <c r="AB30" t="s">
        <v>393</v>
      </c>
      <c r="AD30" s="71" t="s">
        <v>456</v>
      </c>
      <c r="AE30" s="71" t="s">
        <v>527</v>
      </c>
      <c r="AG30" s="72" t="s">
        <v>541</v>
      </c>
      <c r="AH30" s="72" t="s">
        <v>570</v>
      </c>
    </row>
    <row r="31" spans="1:34" x14ac:dyDescent="0.15">
      <c r="A31" s="33"/>
      <c r="B31" s="35"/>
      <c r="D31" s="59"/>
      <c r="Z31" t="s">
        <v>347</v>
      </c>
      <c r="AA31" t="s">
        <v>394</v>
      </c>
      <c r="AB31" t="s">
        <v>395</v>
      </c>
      <c r="AD31" s="71" t="s">
        <v>457</v>
      </c>
      <c r="AE31" s="71" t="s">
        <v>529</v>
      </c>
      <c r="AG31" s="72" t="s">
        <v>541</v>
      </c>
      <c r="AH31" s="72" t="s">
        <v>571</v>
      </c>
    </row>
    <row r="32" spans="1:34" x14ac:dyDescent="0.15">
      <c r="A32" s="34"/>
      <c r="B32" s="35"/>
      <c r="D32" s="59"/>
      <c r="Z32" t="s">
        <v>347</v>
      </c>
      <c r="AA32" t="s">
        <v>396</v>
      </c>
      <c r="AB32" t="s">
        <v>397</v>
      </c>
      <c r="AD32" s="71" t="s">
        <v>458</v>
      </c>
      <c r="AE32" s="71" t="s">
        <v>530</v>
      </c>
      <c r="AG32" s="72" t="s">
        <v>541</v>
      </c>
      <c r="AH32" s="72" t="s">
        <v>572</v>
      </c>
    </row>
    <row r="33" spans="1:34" x14ac:dyDescent="0.15">
      <c r="A33" s="33"/>
      <c r="B33" s="35"/>
      <c r="D33" s="59"/>
      <c r="Z33" t="s">
        <v>347</v>
      </c>
      <c r="AA33" t="s">
        <v>398</v>
      </c>
      <c r="AB33" t="s">
        <v>399</v>
      </c>
      <c r="AD33" s="71" t="s">
        <v>459</v>
      </c>
      <c r="AE33" s="71" t="s">
        <v>528</v>
      </c>
      <c r="AG33" s="72" t="s">
        <v>541</v>
      </c>
      <c r="AH33" s="72" t="s">
        <v>573</v>
      </c>
    </row>
    <row r="34" spans="1:34" x14ac:dyDescent="0.15">
      <c r="A34" s="33"/>
      <c r="B34" s="35"/>
      <c r="D34" s="59"/>
      <c r="Z34" t="s">
        <v>347</v>
      </c>
      <c r="AA34" t="s">
        <v>400</v>
      </c>
      <c r="AB34" t="s">
        <v>401</v>
      </c>
      <c r="AD34" s="71" t="s">
        <v>460</v>
      </c>
      <c r="AE34" s="71" t="s">
        <v>526</v>
      </c>
      <c r="AG34" s="72" t="s">
        <v>541</v>
      </c>
      <c r="AH34" s="72" t="s">
        <v>574</v>
      </c>
    </row>
    <row r="35" spans="1:34" x14ac:dyDescent="0.15">
      <c r="A35" s="33"/>
      <c r="B35" s="35"/>
      <c r="D35" s="59"/>
      <c r="Z35" t="s">
        <v>347</v>
      </c>
      <c r="AA35" t="s">
        <v>402</v>
      </c>
      <c r="AB35" t="s">
        <v>403</v>
      </c>
      <c r="AD35" s="71" t="s">
        <v>461</v>
      </c>
      <c r="AE35" s="71" t="s">
        <v>527</v>
      </c>
      <c r="AG35" s="72" t="s">
        <v>541</v>
      </c>
      <c r="AH35" s="72" t="s">
        <v>575</v>
      </c>
    </row>
    <row r="36" spans="1:34" x14ac:dyDescent="0.15">
      <c r="A36" s="33"/>
      <c r="B36" s="35"/>
      <c r="D36" s="59"/>
      <c r="Z36" t="s">
        <v>347</v>
      </c>
      <c r="AA36" t="s">
        <v>404</v>
      </c>
      <c r="AB36" t="s">
        <v>405</v>
      </c>
      <c r="AD36" s="71" t="s">
        <v>462</v>
      </c>
      <c r="AE36" s="71" t="s">
        <v>531</v>
      </c>
      <c r="AG36" s="72" t="s">
        <v>541</v>
      </c>
      <c r="AH36" s="72" t="s">
        <v>576</v>
      </c>
    </row>
    <row r="37" spans="1:34" x14ac:dyDescent="0.15">
      <c r="A37" s="34"/>
      <c r="B37" s="35"/>
      <c r="D37" s="59"/>
      <c r="Z37" t="s">
        <v>347</v>
      </c>
      <c r="AA37" t="s">
        <v>406</v>
      </c>
      <c r="AB37" t="s">
        <v>407</v>
      </c>
      <c r="AD37" s="71" t="s">
        <v>463</v>
      </c>
      <c r="AE37" s="71" t="s">
        <v>532</v>
      </c>
      <c r="AG37" s="72" t="s">
        <v>541</v>
      </c>
      <c r="AH37" s="72" t="s">
        <v>577</v>
      </c>
    </row>
    <row r="38" spans="1:34" x14ac:dyDescent="0.15">
      <c r="A38" s="34"/>
      <c r="B38" s="35"/>
      <c r="D38" s="59"/>
      <c r="Z38" t="s">
        <v>347</v>
      </c>
      <c r="AA38" t="s">
        <v>408</v>
      </c>
      <c r="AB38" t="s">
        <v>409</v>
      </c>
      <c r="AD38" s="71" t="s">
        <v>464</v>
      </c>
      <c r="AE38" s="71" t="s">
        <v>533</v>
      </c>
      <c r="AG38" s="72" t="s">
        <v>541</v>
      </c>
      <c r="AH38" s="72" t="s">
        <v>578</v>
      </c>
    </row>
    <row r="39" spans="1:34" x14ac:dyDescent="0.15">
      <c r="A39" s="33"/>
      <c r="B39" s="35"/>
      <c r="D39" s="59"/>
      <c r="Z39" t="s">
        <v>347</v>
      </c>
      <c r="AA39" t="s">
        <v>410</v>
      </c>
      <c r="AB39" t="s">
        <v>411</v>
      </c>
      <c r="AD39" s="71" t="s">
        <v>465</v>
      </c>
      <c r="AE39" s="71" t="s">
        <v>531</v>
      </c>
      <c r="AG39" s="72" t="s">
        <v>541</v>
      </c>
      <c r="AH39" s="72" t="s">
        <v>579</v>
      </c>
    </row>
    <row r="40" spans="1:34" x14ac:dyDescent="0.15">
      <c r="A40" s="33"/>
      <c r="B40" s="35"/>
      <c r="D40" s="59"/>
      <c r="Z40" t="s">
        <v>347</v>
      </c>
      <c r="AA40" t="s">
        <v>412</v>
      </c>
      <c r="AB40" t="s">
        <v>413</v>
      </c>
      <c r="AD40" s="71" t="s">
        <v>466</v>
      </c>
      <c r="AE40" s="71" t="s">
        <v>532</v>
      </c>
      <c r="AG40" s="72" t="s">
        <v>541</v>
      </c>
      <c r="AH40" s="72" t="s">
        <v>580</v>
      </c>
    </row>
    <row r="41" spans="1:34" x14ac:dyDescent="0.15">
      <c r="A41" s="33"/>
      <c r="B41" s="35"/>
      <c r="D41" s="59"/>
      <c r="Z41" t="s">
        <v>347</v>
      </c>
      <c r="AA41" t="s">
        <v>414</v>
      </c>
      <c r="AB41" t="s">
        <v>415</v>
      </c>
      <c r="AD41" s="71" t="s">
        <v>467</v>
      </c>
      <c r="AE41" s="71" t="s">
        <v>533</v>
      </c>
      <c r="AG41" s="72" t="s">
        <v>541</v>
      </c>
      <c r="AH41" s="72" t="s">
        <v>581</v>
      </c>
    </row>
    <row r="42" spans="1:34" x14ac:dyDescent="0.15">
      <c r="A42" s="34"/>
      <c r="B42" s="35"/>
      <c r="D42" s="59"/>
      <c r="Z42" t="s">
        <v>347</v>
      </c>
      <c r="AA42" t="s">
        <v>416</v>
      </c>
      <c r="AB42" t="s">
        <v>417</v>
      </c>
      <c r="AD42" s="71" t="s">
        <v>468</v>
      </c>
      <c r="AE42" s="71" t="s">
        <v>531</v>
      </c>
      <c r="AG42" s="72" t="s">
        <v>541</v>
      </c>
      <c r="AH42" s="72" t="s">
        <v>582</v>
      </c>
    </row>
    <row r="43" spans="1:34" x14ac:dyDescent="0.15">
      <c r="A43" s="33"/>
      <c r="B43" s="35"/>
      <c r="D43" s="59"/>
      <c r="Z43" t="s">
        <v>347</v>
      </c>
      <c r="AA43" t="s">
        <v>418</v>
      </c>
      <c r="AB43" t="s">
        <v>419</v>
      </c>
      <c r="AD43" s="71" t="s">
        <v>469</v>
      </c>
      <c r="AE43" s="71" t="s">
        <v>532</v>
      </c>
      <c r="AG43" s="72" t="s">
        <v>541</v>
      </c>
      <c r="AH43" s="72" t="s">
        <v>583</v>
      </c>
    </row>
    <row r="44" spans="1:34" x14ac:dyDescent="0.15">
      <c r="A44" s="35"/>
      <c r="B44" s="33"/>
      <c r="D44" s="59"/>
      <c r="Z44" t="s">
        <v>347</v>
      </c>
      <c r="AA44" t="s">
        <v>420</v>
      </c>
      <c r="AB44" t="s">
        <v>421</v>
      </c>
      <c r="AD44" s="71" t="s">
        <v>470</v>
      </c>
      <c r="AE44" s="71" t="s">
        <v>533</v>
      </c>
      <c r="AG44" s="72" t="s">
        <v>541</v>
      </c>
      <c r="AH44" s="72" t="s">
        <v>584</v>
      </c>
    </row>
    <row r="45" spans="1:34" x14ac:dyDescent="0.15">
      <c r="A45" s="35"/>
      <c r="B45" s="33"/>
      <c r="D45" s="59"/>
      <c r="Z45" t="s">
        <v>347</v>
      </c>
      <c r="AA45" t="s">
        <v>422</v>
      </c>
      <c r="AB45" t="s">
        <v>423</v>
      </c>
      <c r="AD45" s="71" t="s">
        <v>471</v>
      </c>
      <c r="AE45" s="71" t="s">
        <v>531</v>
      </c>
      <c r="AG45" s="72" t="s">
        <v>541</v>
      </c>
      <c r="AH45" s="72" t="s">
        <v>585</v>
      </c>
    </row>
    <row r="46" spans="1:34" x14ac:dyDescent="0.15">
      <c r="A46" s="35"/>
      <c r="B46" s="34"/>
      <c r="D46" s="59"/>
      <c r="Z46" t="s">
        <v>347</v>
      </c>
      <c r="AA46" t="s">
        <v>424</v>
      </c>
      <c r="AB46" t="s">
        <v>425</v>
      </c>
      <c r="AD46" s="71" t="s">
        <v>472</v>
      </c>
      <c r="AE46" s="71" t="s">
        <v>532</v>
      </c>
      <c r="AG46" s="72" t="s">
        <v>541</v>
      </c>
      <c r="AH46" s="72" t="s">
        <v>586</v>
      </c>
    </row>
    <row r="47" spans="1:34" x14ac:dyDescent="0.15">
      <c r="A47" s="35"/>
      <c r="B47" s="33"/>
      <c r="D47" s="59"/>
      <c r="AD47" s="71" t="s">
        <v>473</v>
      </c>
      <c r="AE47" s="71" t="s">
        <v>533</v>
      </c>
    </row>
    <row r="48" spans="1:34" x14ac:dyDescent="0.15">
      <c r="A48" s="35"/>
      <c r="B48" s="33"/>
      <c r="D48" s="59"/>
      <c r="AD48" s="71" t="s">
        <v>474</v>
      </c>
      <c r="AE48" s="71" t="s">
        <v>531</v>
      </c>
    </row>
    <row r="49" spans="1:31" x14ac:dyDescent="0.15">
      <c r="A49" s="35"/>
      <c r="B49" s="33"/>
      <c r="D49" s="59"/>
      <c r="AD49" s="71" t="s">
        <v>475</v>
      </c>
      <c r="AE49" s="71" t="s">
        <v>532</v>
      </c>
    </row>
    <row r="50" spans="1:31" x14ac:dyDescent="0.15">
      <c r="A50" s="35"/>
      <c r="B50" s="33"/>
      <c r="D50" s="59"/>
      <c r="AD50" s="71" t="s">
        <v>476</v>
      </c>
      <c r="AE50" s="71" t="s">
        <v>533</v>
      </c>
    </row>
    <row r="51" spans="1:31" x14ac:dyDescent="0.15">
      <c r="A51" s="35"/>
      <c r="B51" s="33"/>
      <c r="D51" s="59"/>
      <c r="AD51" s="71" t="s">
        <v>477</v>
      </c>
      <c r="AE51" s="71" t="s">
        <v>531</v>
      </c>
    </row>
    <row r="52" spans="1:31" x14ac:dyDescent="0.15">
      <c r="A52" s="35"/>
      <c r="B52" s="34"/>
      <c r="D52" s="59"/>
      <c r="AD52" s="71" t="s">
        <v>478</v>
      </c>
      <c r="AE52" s="71" t="s">
        <v>532</v>
      </c>
    </row>
    <row r="53" spans="1:31" x14ac:dyDescent="0.15">
      <c r="A53" s="35"/>
      <c r="B53" s="34"/>
      <c r="D53" s="59"/>
      <c r="AD53" s="71" t="s">
        <v>479</v>
      </c>
      <c r="AE53" s="71" t="s">
        <v>533</v>
      </c>
    </row>
    <row r="54" spans="1:31" x14ac:dyDescent="0.15">
      <c r="A54" s="35"/>
      <c r="B54" s="33"/>
      <c r="D54" s="59"/>
      <c r="AD54" s="71" t="s">
        <v>480</v>
      </c>
      <c r="AE54" s="71" t="s">
        <v>531</v>
      </c>
    </row>
    <row r="55" spans="1:31" x14ac:dyDescent="0.15">
      <c r="A55" s="35"/>
      <c r="B55" s="33"/>
      <c r="D55" s="59"/>
      <c r="AD55" s="71" t="s">
        <v>481</v>
      </c>
      <c r="AE55" s="71" t="s">
        <v>532</v>
      </c>
    </row>
    <row r="56" spans="1:31" x14ac:dyDescent="0.15">
      <c r="A56" s="35"/>
      <c r="B56" s="33"/>
      <c r="D56" s="59"/>
      <c r="AD56" s="71" t="s">
        <v>482</v>
      </c>
      <c r="AE56" s="71" t="s">
        <v>533</v>
      </c>
    </row>
    <row r="57" spans="1:31" x14ac:dyDescent="0.15">
      <c r="A57" s="35"/>
      <c r="B57" s="33"/>
      <c r="D57" s="59"/>
      <c r="AD57" s="71" t="s">
        <v>483</v>
      </c>
      <c r="AE57" s="71" t="s">
        <v>529</v>
      </c>
    </row>
    <row r="58" spans="1:31" x14ac:dyDescent="0.15">
      <c r="A58" s="35"/>
      <c r="B58" s="33"/>
      <c r="D58" s="59"/>
      <c r="AD58" s="71" t="s">
        <v>484</v>
      </c>
      <c r="AE58" s="71" t="s">
        <v>530</v>
      </c>
    </row>
    <row r="59" spans="1:31" x14ac:dyDescent="0.15">
      <c r="A59" s="35"/>
      <c r="B59" s="33"/>
      <c r="D59" s="59"/>
      <c r="AD59" s="71" t="s">
        <v>485</v>
      </c>
      <c r="AE59" s="71" t="s">
        <v>531</v>
      </c>
    </row>
    <row r="60" spans="1:31" x14ac:dyDescent="0.15">
      <c r="A60" s="35"/>
      <c r="B60" s="33"/>
      <c r="D60" s="59"/>
      <c r="AD60" s="71" t="s">
        <v>486</v>
      </c>
      <c r="AE60" s="71" t="s">
        <v>532</v>
      </c>
    </row>
    <row r="61" spans="1:31" x14ac:dyDescent="0.15">
      <c r="A61" s="35"/>
      <c r="B61" s="34"/>
      <c r="D61" s="59"/>
      <c r="AD61" s="71" t="s">
        <v>487</v>
      </c>
      <c r="AE61" s="71" t="s">
        <v>533</v>
      </c>
    </row>
    <row r="62" spans="1:31" x14ac:dyDescent="0.15">
      <c r="A62" s="35"/>
      <c r="B62" s="33"/>
      <c r="D62" s="59"/>
      <c r="AD62" s="71" t="s">
        <v>488</v>
      </c>
      <c r="AE62" s="71" t="s">
        <v>534</v>
      </c>
    </row>
    <row r="63" spans="1:31" x14ac:dyDescent="0.15">
      <c r="A63" s="35"/>
      <c r="B63" s="33"/>
      <c r="D63" s="59"/>
      <c r="AD63" s="71" t="s">
        <v>489</v>
      </c>
      <c r="AE63" s="71" t="s">
        <v>534</v>
      </c>
    </row>
    <row r="64" spans="1:31" x14ac:dyDescent="0.15">
      <c r="A64" s="35"/>
      <c r="B64" s="33"/>
      <c r="D64" s="59"/>
      <c r="AD64" s="71" t="s">
        <v>490</v>
      </c>
      <c r="AE64" s="71" t="s">
        <v>534</v>
      </c>
    </row>
    <row r="65" spans="1:31" x14ac:dyDescent="0.15">
      <c r="A65" s="35"/>
      <c r="B65" s="33"/>
      <c r="D65" s="59"/>
      <c r="AD65" s="71" t="s">
        <v>491</v>
      </c>
      <c r="AE65" s="71" t="s">
        <v>534</v>
      </c>
    </row>
    <row r="66" spans="1:31" x14ac:dyDescent="0.15">
      <c r="A66" s="35"/>
      <c r="B66" s="33"/>
      <c r="D66" s="59"/>
      <c r="AD66" s="71" t="s">
        <v>492</v>
      </c>
      <c r="AE66" s="71" t="s">
        <v>534</v>
      </c>
    </row>
    <row r="67" spans="1:31" x14ac:dyDescent="0.15">
      <c r="A67" s="35"/>
      <c r="B67" s="33"/>
      <c r="D67" s="59"/>
      <c r="AD67" s="71" t="s">
        <v>493</v>
      </c>
      <c r="AE67" s="71" t="s">
        <v>534</v>
      </c>
    </row>
    <row r="68" spans="1:31" x14ac:dyDescent="0.15">
      <c r="A68" s="35"/>
      <c r="B68" s="34"/>
      <c r="D68" s="59"/>
      <c r="AD68" s="71" t="s">
        <v>494</v>
      </c>
      <c r="AE68" s="71" t="s">
        <v>534</v>
      </c>
    </row>
    <row r="69" spans="1:31" x14ac:dyDescent="0.15">
      <c r="A69" s="31"/>
      <c r="B69" s="29"/>
      <c r="D69" s="59"/>
      <c r="AD69" s="71" t="s">
        <v>495</v>
      </c>
      <c r="AE69" s="71" t="s">
        <v>534</v>
      </c>
    </row>
    <row r="70" spans="1:31" x14ac:dyDescent="0.15">
      <c r="D70" s="59"/>
      <c r="AD70" s="71" t="s">
        <v>496</v>
      </c>
      <c r="AE70" s="71" t="s">
        <v>534</v>
      </c>
    </row>
    <row r="71" spans="1:31" x14ac:dyDescent="0.15">
      <c r="D71" s="59"/>
      <c r="AD71" s="71" t="s">
        <v>497</v>
      </c>
      <c r="AE71" s="71" t="s">
        <v>529</v>
      </c>
    </row>
    <row r="72" spans="1:31" x14ac:dyDescent="0.15">
      <c r="D72" s="59"/>
      <c r="AD72" s="71" t="s">
        <v>498</v>
      </c>
      <c r="AE72" s="71" t="s">
        <v>526</v>
      </c>
    </row>
    <row r="73" spans="1:31" x14ac:dyDescent="0.15">
      <c r="D73" s="59"/>
      <c r="AD73" s="71" t="s">
        <v>499</v>
      </c>
      <c r="AE73" s="71" t="s">
        <v>530</v>
      </c>
    </row>
    <row r="74" spans="1:31" x14ac:dyDescent="0.15">
      <c r="D74" s="59"/>
      <c r="AD74" s="71" t="s">
        <v>500</v>
      </c>
      <c r="AE74" s="71" t="s">
        <v>534</v>
      </c>
    </row>
    <row r="75" spans="1:31" x14ac:dyDescent="0.15">
      <c r="D75" s="59"/>
      <c r="AD75" s="71" t="s">
        <v>501</v>
      </c>
      <c r="AE75" s="71" t="s">
        <v>534</v>
      </c>
    </row>
    <row r="76" spans="1:31" x14ac:dyDescent="0.15">
      <c r="D76" s="59"/>
      <c r="AD76" s="71" t="s">
        <v>502</v>
      </c>
      <c r="AE76" s="71" t="s">
        <v>534</v>
      </c>
    </row>
    <row r="77" spans="1:31" x14ac:dyDescent="0.15">
      <c r="D77" s="59"/>
      <c r="AD77" s="71" t="s">
        <v>503</v>
      </c>
      <c r="AE77" s="71" t="s">
        <v>534</v>
      </c>
    </row>
    <row r="78" spans="1:31" x14ac:dyDescent="0.15">
      <c r="D78" s="59"/>
      <c r="AD78" s="71" t="s">
        <v>504</v>
      </c>
      <c r="AE78" s="71" t="s">
        <v>535</v>
      </c>
    </row>
    <row r="79" spans="1:31" x14ac:dyDescent="0.15">
      <c r="D79" s="59"/>
      <c r="AD79" s="71" t="s">
        <v>505</v>
      </c>
      <c r="AE79" s="71" t="s">
        <v>535</v>
      </c>
    </row>
    <row r="80" spans="1:31" x14ac:dyDescent="0.15">
      <c r="D80" s="59"/>
      <c r="AD80" s="71" t="s">
        <v>506</v>
      </c>
      <c r="AE80" s="71" t="s">
        <v>535</v>
      </c>
    </row>
    <row r="81" spans="4:31" x14ac:dyDescent="0.15">
      <c r="D81" s="59"/>
      <c r="AD81" s="71" t="s">
        <v>507</v>
      </c>
      <c r="AE81" s="71" t="s">
        <v>528</v>
      </c>
    </row>
    <row r="82" spans="4:31" x14ac:dyDescent="0.15">
      <c r="D82" s="59"/>
      <c r="AD82" s="71" t="s">
        <v>508</v>
      </c>
      <c r="AE82" s="71" t="s">
        <v>526</v>
      </c>
    </row>
    <row r="83" spans="4:31" x14ac:dyDescent="0.15">
      <c r="AD83" s="71" t="s">
        <v>509</v>
      </c>
      <c r="AE83" s="71" t="s">
        <v>527</v>
      </c>
    </row>
    <row r="84" spans="4:31" x14ac:dyDescent="0.15">
      <c r="AD84" s="71" t="s">
        <v>510</v>
      </c>
      <c r="AE84" s="71" t="s">
        <v>528</v>
      </c>
    </row>
    <row r="85" spans="4:31" x14ac:dyDescent="0.15">
      <c r="AD85" s="71" t="s">
        <v>511</v>
      </c>
      <c r="AE85" s="71" t="s">
        <v>526</v>
      </c>
    </row>
    <row r="86" spans="4:31" x14ac:dyDescent="0.15">
      <c r="AD86" s="71" t="s">
        <v>512</v>
      </c>
      <c r="AE86" s="71" t="s">
        <v>527</v>
      </c>
    </row>
    <row r="87" spans="4:31" x14ac:dyDescent="0.15">
      <c r="AD87" s="71" t="s">
        <v>513</v>
      </c>
      <c r="AE87" s="71" t="s">
        <v>528</v>
      </c>
    </row>
    <row r="88" spans="4:31" x14ac:dyDescent="0.15">
      <c r="AD88" s="71" t="s">
        <v>514</v>
      </c>
      <c r="AE88" s="71" t="s">
        <v>526</v>
      </c>
    </row>
    <row r="89" spans="4:31" x14ac:dyDescent="0.15">
      <c r="AD89" s="71" t="s">
        <v>515</v>
      </c>
      <c r="AE89" s="71" t="s">
        <v>527</v>
      </c>
    </row>
    <row r="90" spans="4:31" x14ac:dyDescent="0.15">
      <c r="AD90" s="71" t="s">
        <v>516</v>
      </c>
      <c r="AE90" s="71" t="s">
        <v>528</v>
      </c>
    </row>
    <row r="91" spans="4:31" x14ac:dyDescent="0.15">
      <c r="AD91" s="71" t="s">
        <v>517</v>
      </c>
      <c r="AE91" s="71" t="s">
        <v>526</v>
      </c>
    </row>
    <row r="92" spans="4:31" x14ac:dyDescent="0.15">
      <c r="AD92" s="71" t="s">
        <v>518</v>
      </c>
      <c r="AE92" s="71" t="s">
        <v>527</v>
      </c>
    </row>
    <row r="93" spans="4:31" x14ac:dyDescent="0.15">
      <c r="AD93" s="71" t="s">
        <v>519</v>
      </c>
      <c r="AE93" s="71" t="s">
        <v>528</v>
      </c>
    </row>
    <row r="94" spans="4:31" x14ac:dyDescent="0.15">
      <c r="AD94" s="71" t="s">
        <v>520</v>
      </c>
      <c r="AE94" s="71" t="s">
        <v>526</v>
      </c>
    </row>
    <row r="95" spans="4:31" x14ac:dyDescent="0.15">
      <c r="AD95" s="71" t="s">
        <v>521</v>
      </c>
      <c r="AE95" s="71" t="s">
        <v>527</v>
      </c>
    </row>
    <row r="96" spans="4:31" x14ac:dyDescent="0.15">
      <c r="AD96" s="71" t="s">
        <v>522</v>
      </c>
      <c r="AE96" s="71" t="s">
        <v>528</v>
      </c>
    </row>
    <row r="97" spans="30:31" x14ac:dyDescent="0.15">
      <c r="AD97" s="71" t="s">
        <v>523</v>
      </c>
      <c r="AE97" s="71" t="s">
        <v>526</v>
      </c>
    </row>
    <row r="98" spans="30:31" x14ac:dyDescent="0.15">
      <c r="AD98" s="71" t="s">
        <v>524</v>
      </c>
      <c r="AE98" s="71" t="s">
        <v>527</v>
      </c>
    </row>
  </sheetData>
  <phoneticPr fontId="4" type="noConversion"/>
  <conditionalFormatting sqref="A13:A43">
    <cfRule type="duplicateValues" dxfId="3" priority="7" stopIfTrue="1"/>
  </conditionalFormatting>
  <conditionalFormatting sqref="D13:D23">
    <cfRule type="duplicateValues" dxfId="2" priority="3" stopIfTrue="1"/>
  </conditionalFormatting>
  <conditionalFormatting sqref="B44:B68">
    <cfRule type="duplicateValues" dxfId="1" priority="18" stopIfTrue="1"/>
  </conditionalFormatting>
  <conditionalFormatting sqref="D2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1"/>
  <sheetViews>
    <sheetView workbookViewId="0">
      <selection activeCell="B23" sqref="B23"/>
    </sheetView>
  </sheetViews>
  <sheetFormatPr defaultRowHeight="13.5" x14ac:dyDescent="0.15"/>
  <cols>
    <col min="1" max="1" width="25.625" bestFit="1" customWidth="1"/>
    <col min="2" max="2" width="63.375" bestFit="1" customWidth="1"/>
  </cols>
  <sheetData>
    <row r="1" spans="1:4" x14ac:dyDescent="0.15">
      <c r="A1" s="20" t="s">
        <v>16</v>
      </c>
      <c r="B1" t="str">
        <f>$B$15&amp;$A1&amp;B$16</f>
        <v>[试算平衡表等（新准则）-合并.xls]资产表(年初数)!$J$7:$P$102</v>
      </c>
      <c r="C1" s="20"/>
      <c r="D1" s="20" t="str">
        <f>$B$15&amp;$A1&amp;D$16</f>
        <v>[试算平衡表等（新准则）-合并.xls]资产表(年初数)!$C$7</v>
      </c>
    </row>
    <row r="2" spans="1:4" x14ac:dyDescent="0.15">
      <c r="A2" s="20" t="s">
        <v>17</v>
      </c>
      <c r="B2" s="20" t="str">
        <f t="shared" ref="B2:B10" si="0">$B$15&amp;$A2&amp;B$16</f>
        <v>[试算平衡表等（新准则）-合并.xls]负债及权益表(年初数)!$J$7:$P$102</v>
      </c>
      <c r="C2" s="20"/>
      <c r="D2" s="20" t="str">
        <f t="shared" ref="D2:D10" si="1">$B$15&amp;$A2&amp;D$16</f>
        <v>[试算平衡表等（新准则）-合并.xls]负债及权益表(年初数)!$C$7</v>
      </c>
    </row>
    <row r="3" spans="1:4" x14ac:dyDescent="0.15">
      <c r="A3" s="20" t="s">
        <v>18</v>
      </c>
      <c r="B3" s="20" t="str">
        <f t="shared" si="0"/>
        <v>[试算平衡表等（新准则）-合并.xls]利润表(上年数)!$J$7:$P$102</v>
      </c>
      <c r="C3" s="20"/>
      <c r="D3" s="20" t="str">
        <f t="shared" si="1"/>
        <v>[试算平衡表等（新准则）-合并.xls]利润表(上年数)!$C$7</v>
      </c>
    </row>
    <row r="4" spans="1:4" x14ac:dyDescent="0.15">
      <c r="A4" s="20" t="s">
        <v>19</v>
      </c>
      <c r="B4" s="20" t="str">
        <f t="shared" si="0"/>
        <v>[试算平衡表等（新准则）-合并.xls]现金流量表(上年数)!$J$7:$P$102</v>
      </c>
      <c r="C4" s="20"/>
      <c r="D4" s="20" t="str">
        <f t="shared" si="1"/>
        <v>[试算平衡表等（新准则）-合并.xls]现金流量表(上年数)!$C$7</v>
      </c>
    </row>
    <row r="5" spans="1:4" x14ac:dyDescent="0.15">
      <c r="A5" s="20" t="s">
        <v>20</v>
      </c>
      <c r="B5" s="20" t="str">
        <f t="shared" si="0"/>
        <v>[试算平衡表等（新准则）-合并.xls]所有者权益变动表(上年数)!$J$7:$P$102</v>
      </c>
      <c r="C5" s="20"/>
      <c r="D5" s="20" t="str">
        <f t="shared" si="1"/>
        <v>[试算平衡表等（新准则）-合并.xls]所有者权益变动表(上年数)!$C$7</v>
      </c>
    </row>
    <row r="6" spans="1:4" x14ac:dyDescent="0.15">
      <c r="A6" s="20" t="s">
        <v>21</v>
      </c>
      <c r="B6" s="20" t="str">
        <f t="shared" si="0"/>
        <v>[试算平衡表等（新准则）-合并.xls]资产表(年末数)!$J$7:$P$102</v>
      </c>
      <c r="C6" s="20"/>
      <c r="D6" s="20" t="str">
        <f t="shared" si="1"/>
        <v>[试算平衡表等（新准则）-合并.xls]资产表(年末数)!$C$7</v>
      </c>
    </row>
    <row r="7" spans="1:4" x14ac:dyDescent="0.15">
      <c r="A7" s="20" t="s">
        <v>22</v>
      </c>
      <c r="B7" s="20" t="str">
        <f t="shared" si="0"/>
        <v>[试算平衡表等（新准则）-合并.xls]负债及权益表(年末数)!$J$7:$P$102</v>
      </c>
      <c r="C7" s="20"/>
      <c r="D7" s="20" t="str">
        <f t="shared" si="1"/>
        <v>[试算平衡表等（新准则）-合并.xls]负债及权益表(年末数)!$C$7</v>
      </c>
    </row>
    <row r="8" spans="1:4" x14ac:dyDescent="0.15">
      <c r="A8" s="20" t="s">
        <v>23</v>
      </c>
      <c r="B8" s="20" t="str">
        <f t="shared" si="0"/>
        <v>[试算平衡表等（新准则）-合并.xls]利润表(本年数)!$J$7:$P$102</v>
      </c>
      <c r="C8" s="20"/>
      <c r="D8" s="20" t="str">
        <f t="shared" si="1"/>
        <v>[试算平衡表等（新准则）-合并.xls]利润表(本年数)!$C$7</v>
      </c>
    </row>
    <row r="9" spans="1:4" x14ac:dyDescent="0.15">
      <c r="A9" s="20" t="s">
        <v>24</v>
      </c>
      <c r="B9" s="20" t="str">
        <f t="shared" si="0"/>
        <v>[试算平衡表等（新准则）-合并.xls]现金流量表(本年数)!$J$7:$P$102</v>
      </c>
      <c r="C9" s="20"/>
      <c r="D9" s="20" t="str">
        <f t="shared" si="1"/>
        <v>[试算平衡表等（新准则）-合并.xls]现金流量表(本年数)!$C$7</v>
      </c>
    </row>
    <row r="10" spans="1:4" x14ac:dyDescent="0.15">
      <c r="A10" s="20" t="s">
        <v>25</v>
      </c>
      <c r="B10" s="20" t="str">
        <f t="shared" si="0"/>
        <v>[试算平衡表等（新准则）-合并.xls]所有者权益变动表(本年数)!$J$7:$P$102</v>
      </c>
      <c r="C10" s="20"/>
      <c r="D10" s="20" t="str">
        <f t="shared" si="1"/>
        <v>[试算平衡表等（新准则）-合并.xls]所有者权益变动表(本年数)!$C$7</v>
      </c>
    </row>
    <row r="15" spans="1:4" x14ac:dyDescent="0.15">
      <c r="B15" t="s">
        <v>26</v>
      </c>
      <c r="D15" t="s">
        <v>28</v>
      </c>
    </row>
    <row r="16" spans="1:4" x14ac:dyDescent="0.15">
      <c r="B16" s="20" t="s">
        <v>27</v>
      </c>
      <c r="D16" t="s">
        <v>29</v>
      </c>
    </row>
    <row r="21" spans="4:4" x14ac:dyDescent="0.15">
      <c r="D21" s="20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2"/>
  <sheetViews>
    <sheetView workbookViewId="0">
      <selection activeCell="H24" sqref="H24"/>
    </sheetView>
  </sheetViews>
  <sheetFormatPr defaultRowHeight="13.5" x14ac:dyDescent="0.15"/>
  <cols>
    <col min="1" max="1" width="31.25" bestFit="1" customWidth="1"/>
    <col min="2" max="2" width="4.5" bestFit="1" customWidth="1"/>
    <col min="3" max="3" width="5.25" bestFit="1" customWidth="1"/>
    <col min="4" max="4" width="4.5" bestFit="1" customWidth="1"/>
  </cols>
  <sheetData>
    <row r="1" spans="1:8" x14ac:dyDescent="0.15">
      <c r="A1" s="44" t="s">
        <v>159</v>
      </c>
      <c r="B1" s="50" t="s">
        <v>160</v>
      </c>
      <c r="C1" s="50" t="s">
        <v>161</v>
      </c>
      <c r="D1" s="50" t="s">
        <v>162</v>
      </c>
      <c r="E1" s="48"/>
      <c r="G1" t="s">
        <v>118</v>
      </c>
      <c r="H1">
        <f>COUNTA(A:A)</f>
        <v>22</v>
      </c>
    </row>
    <row r="2" spans="1:8" x14ac:dyDescent="0.15">
      <c r="A2" s="45" t="s">
        <v>102</v>
      </c>
      <c r="B2" s="50">
        <v>3</v>
      </c>
      <c r="C2" s="50">
        <v>26</v>
      </c>
      <c r="D2" s="50">
        <v>28</v>
      </c>
      <c r="G2" t="s">
        <v>119</v>
      </c>
      <c r="H2">
        <v>2</v>
      </c>
    </row>
    <row r="3" spans="1:8" x14ac:dyDescent="0.15">
      <c r="A3" s="45" t="s">
        <v>103</v>
      </c>
      <c r="B3" s="50">
        <v>29</v>
      </c>
      <c r="C3" s="50">
        <v>32</v>
      </c>
      <c r="D3" s="50">
        <v>60</v>
      </c>
      <c r="G3" t="s">
        <v>120</v>
      </c>
      <c r="H3">
        <f>MAX(D:D)+1</f>
        <v>485</v>
      </c>
    </row>
    <row r="4" spans="1:8" x14ac:dyDescent="0.15">
      <c r="A4" s="45" t="s">
        <v>104</v>
      </c>
      <c r="B4" s="50">
        <v>61</v>
      </c>
      <c r="C4" s="50">
        <v>8</v>
      </c>
      <c r="D4" s="50">
        <v>68</v>
      </c>
    </row>
    <row r="5" spans="1:8" x14ac:dyDescent="0.15">
      <c r="A5" s="46" t="s">
        <v>105</v>
      </c>
      <c r="B5" s="50">
        <v>69</v>
      </c>
      <c r="C5" s="50">
        <v>10</v>
      </c>
      <c r="D5" s="50">
        <v>78</v>
      </c>
    </row>
    <row r="6" spans="1:8" x14ac:dyDescent="0.15">
      <c r="A6" s="45" t="s">
        <v>163</v>
      </c>
      <c r="B6" s="50">
        <v>79</v>
      </c>
      <c r="C6" s="50">
        <v>24</v>
      </c>
      <c r="D6" s="50">
        <v>102</v>
      </c>
    </row>
    <row r="7" spans="1:8" x14ac:dyDescent="0.15">
      <c r="A7" s="45" t="s">
        <v>164</v>
      </c>
      <c r="B7" s="50">
        <v>103</v>
      </c>
      <c r="C7" s="50">
        <v>48</v>
      </c>
      <c r="D7" s="50">
        <v>150</v>
      </c>
    </row>
    <row r="8" spans="1:8" x14ac:dyDescent="0.15">
      <c r="A8" s="45" t="s">
        <v>106</v>
      </c>
      <c r="B8" s="50">
        <v>151</v>
      </c>
      <c r="C8" s="50">
        <v>26</v>
      </c>
      <c r="D8" s="50">
        <v>176</v>
      </c>
    </row>
    <row r="9" spans="1:8" x14ac:dyDescent="0.15">
      <c r="A9" s="45" t="s">
        <v>107</v>
      </c>
      <c r="B9" s="50">
        <v>177</v>
      </c>
      <c r="C9" s="50">
        <v>10</v>
      </c>
      <c r="D9" s="50">
        <v>186</v>
      </c>
    </row>
    <row r="10" spans="1:8" x14ac:dyDescent="0.15">
      <c r="A10" s="45" t="s">
        <v>108</v>
      </c>
      <c r="B10" s="50">
        <v>187</v>
      </c>
      <c r="C10" s="50">
        <v>28</v>
      </c>
      <c r="D10" s="50">
        <v>214</v>
      </c>
    </row>
    <row r="11" spans="1:8" x14ac:dyDescent="0.15">
      <c r="A11" s="47" t="s">
        <v>109</v>
      </c>
      <c r="B11" s="50">
        <v>215</v>
      </c>
      <c r="C11" s="50">
        <v>2</v>
      </c>
      <c r="D11" s="50">
        <v>216</v>
      </c>
    </row>
    <row r="12" spans="1:8" x14ac:dyDescent="0.15">
      <c r="A12" s="47" t="s">
        <v>110</v>
      </c>
      <c r="B12" s="50">
        <v>217</v>
      </c>
      <c r="C12" s="50">
        <v>21</v>
      </c>
      <c r="D12" s="50">
        <v>237</v>
      </c>
    </row>
    <row r="13" spans="1:8" x14ac:dyDescent="0.15">
      <c r="A13" s="47" t="s">
        <v>111</v>
      </c>
      <c r="B13" s="50">
        <v>238</v>
      </c>
      <c r="C13" s="50">
        <v>2</v>
      </c>
      <c r="D13" s="50">
        <v>239</v>
      </c>
    </row>
    <row r="14" spans="1:8" x14ac:dyDescent="0.15">
      <c r="A14" s="47" t="s">
        <v>112</v>
      </c>
      <c r="B14" s="50">
        <v>240</v>
      </c>
      <c r="C14" s="50">
        <v>19</v>
      </c>
      <c r="D14" s="50">
        <v>258</v>
      </c>
    </row>
    <row r="15" spans="1:8" x14ac:dyDescent="0.15">
      <c r="A15" s="47" t="s">
        <v>113</v>
      </c>
      <c r="B15" s="50">
        <v>259</v>
      </c>
      <c r="C15" s="50">
        <v>49</v>
      </c>
      <c r="D15" s="50">
        <v>307</v>
      </c>
    </row>
    <row r="16" spans="1:8" x14ac:dyDescent="0.15">
      <c r="A16" s="47" t="s">
        <v>165</v>
      </c>
      <c r="B16" s="50">
        <v>308</v>
      </c>
      <c r="C16" s="50">
        <v>28</v>
      </c>
      <c r="D16" s="50">
        <v>335</v>
      </c>
    </row>
    <row r="17" spans="1:4" x14ac:dyDescent="0.15">
      <c r="A17" s="47" t="s">
        <v>114</v>
      </c>
      <c r="B17" s="50">
        <v>336</v>
      </c>
      <c r="C17" s="50">
        <v>2</v>
      </c>
      <c r="D17" s="50">
        <v>337</v>
      </c>
    </row>
    <row r="18" spans="1:4" x14ac:dyDescent="0.15">
      <c r="A18" s="47" t="s">
        <v>115</v>
      </c>
      <c r="B18" s="50">
        <v>338</v>
      </c>
      <c r="C18" s="50">
        <v>23</v>
      </c>
      <c r="D18" s="50">
        <v>360</v>
      </c>
    </row>
    <row r="19" spans="1:4" x14ac:dyDescent="0.15">
      <c r="A19" s="47" t="s">
        <v>116</v>
      </c>
      <c r="B19" s="50">
        <v>361</v>
      </c>
      <c r="C19" s="50">
        <v>76</v>
      </c>
      <c r="D19" s="50">
        <v>436</v>
      </c>
    </row>
    <row r="20" spans="1:4" x14ac:dyDescent="0.15">
      <c r="A20" s="47" t="s">
        <v>166</v>
      </c>
      <c r="B20" s="50">
        <v>437</v>
      </c>
      <c r="C20" s="50">
        <v>1</v>
      </c>
      <c r="D20" s="50">
        <v>437</v>
      </c>
    </row>
    <row r="21" spans="1:4" x14ac:dyDescent="0.15">
      <c r="A21" t="s">
        <v>117</v>
      </c>
      <c r="B21">
        <v>438</v>
      </c>
      <c r="C21">
        <v>31</v>
      </c>
      <c r="D21">
        <v>468</v>
      </c>
    </row>
    <row r="22" spans="1:4" x14ac:dyDescent="0.15">
      <c r="A22" t="s">
        <v>167</v>
      </c>
      <c r="B22">
        <v>469</v>
      </c>
      <c r="C22">
        <v>16</v>
      </c>
      <c r="D22">
        <v>484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合并目录下多电子表</vt:lpstr>
      <vt:lpstr>自定义函数</vt:lpstr>
      <vt:lpstr>调整列顺序</vt:lpstr>
      <vt:lpstr>调整表顺序</vt:lpstr>
      <vt:lpstr>常用函数</vt:lpstr>
      <vt:lpstr>temp</vt:lpstr>
      <vt:lpstr>sys</vt:lpstr>
      <vt:lpstr>批量</vt:lpstr>
      <vt:lpstr>Sheet3</vt:lpstr>
      <vt:lpstr>拆分表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zhuifeng</dc:creator>
  <cp:lastModifiedBy>张瑶</cp:lastModifiedBy>
  <cp:lastPrinted>2011-11-22T14:47:08Z</cp:lastPrinted>
  <dcterms:created xsi:type="dcterms:W3CDTF">2011-11-14T06:48:55Z</dcterms:created>
  <dcterms:modified xsi:type="dcterms:W3CDTF">2016-06-12T03:38:31Z</dcterms:modified>
</cp:coreProperties>
</file>